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ta\Downloads\Telegram Desktop\"/>
    </mc:Choice>
  </mc:AlternateContent>
  <xr:revisionPtr revIDLastSave="0" documentId="13_ncr:1_{B7A06615-D26E-4B5D-BB49-000D3C53C634}" xr6:coauthVersionLast="47" xr6:coauthVersionMax="47" xr10:uidLastSave="{00000000-0000-0000-0000-000000000000}"/>
  <bookViews>
    <workbookView xWindow="768" yWindow="768" windowWidth="29472" windowHeight="16092" xr2:uid="{1FBF6624-CC37-4E44-8876-AC3EAB0C279F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S8" i="1" s="1"/>
  <c r="O9" i="1"/>
  <c r="S9" i="1" s="1"/>
  <c r="O10" i="1"/>
  <c r="S10" i="1" s="1"/>
  <c r="O11" i="1"/>
  <c r="S11" i="1" s="1"/>
  <c r="O12" i="1"/>
  <c r="S12" i="1" s="1"/>
  <c r="O13" i="1"/>
  <c r="S13" i="1" s="1"/>
  <c r="O14" i="1"/>
  <c r="S14" i="1" s="1"/>
  <c r="O15" i="1"/>
  <c r="S15" i="1" s="1"/>
  <c r="O16" i="1"/>
  <c r="S16" i="1" s="1"/>
  <c r="O17" i="1"/>
  <c r="S17" i="1" s="1"/>
  <c r="O18" i="1"/>
  <c r="S18" i="1" s="1"/>
  <c r="O19" i="1"/>
  <c r="S19" i="1" s="1"/>
  <c r="O20" i="1"/>
  <c r="S20" i="1" s="1"/>
  <c r="O21" i="1"/>
  <c r="S21" i="1" s="1"/>
  <c r="O22" i="1"/>
  <c r="S22" i="1" s="1"/>
  <c r="O23" i="1"/>
  <c r="S23" i="1" s="1"/>
  <c r="O24" i="1"/>
  <c r="S24" i="1" s="1"/>
  <c r="O25" i="1"/>
  <c r="S25" i="1" s="1"/>
  <c r="O26" i="1"/>
  <c r="S26" i="1" s="1"/>
  <c r="O27" i="1"/>
  <c r="S27" i="1" s="1"/>
  <c r="O28" i="1"/>
  <c r="S28" i="1" s="1"/>
  <c r="O29" i="1"/>
  <c r="S29" i="1" s="1"/>
  <c r="O30" i="1"/>
  <c r="S30" i="1" s="1"/>
  <c r="O31" i="1"/>
  <c r="S31" i="1" s="1"/>
  <c r="O32" i="1"/>
  <c r="S32" i="1" s="1"/>
  <c r="O33" i="1"/>
  <c r="S33" i="1" s="1"/>
  <c r="O34" i="1"/>
  <c r="S34" i="1" s="1"/>
  <c r="O35" i="1"/>
  <c r="S35" i="1" s="1"/>
  <c r="O36" i="1"/>
  <c r="S36" i="1" s="1"/>
  <c r="O37" i="1"/>
  <c r="O38" i="1"/>
  <c r="O39" i="1"/>
  <c r="O7" i="1"/>
  <c r="S7" i="1" s="1"/>
  <c r="J3" i="1" l="1"/>
</calcChain>
</file>

<file path=xl/sharedStrings.xml><?xml version="1.0" encoding="utf-8"?>
<sst xmlns="http://schemas.openxmlformats.org/spreadsheetml/2006/main" count="60" uniqueCount="52">
  <si>
    <t>LOKAL</t>
  </si>
  <si>
    <t>DISTRITO</t>
  </si>
  <si>
    <t>BATANGAS</t>
  </si>
  <si>
    <t>BALAYAN</t>
  </si>
  <si>
    <t>DATE REPORTED</t>
  </si>
  <si>
    <t>LCODE</t>
  </si>
  <si>
    <t>003</t>
  </si>
  <si>
    <t>01009</t>
  </si>
  <si>
    <t>DCODE</t>
  </si>
  <si>
    <t>YEAR COVERED</t>
  </si>
  <si>
    <t>BLDG</t>
  </si>
  <si>
    <t>CLASS</t>
  </si>
  <si>
    <t>INIHANDOG O HINDI</t>
  </si>
  <si>
    <t>PETSA INIHANDOG</t>
  </si>
  <si>
    <t>PETSA MAYARI</t>
  </si>
  <si>
    <t>COST LAST YEAR</t>
  </si>
  <si>
    <t>CAPACITY</t>
  </si>
  <si>
    <t xml:space="preserve">PAGAWA </t>
  </si>
  <si>
    <t>ORIGINAL COST</t>
  </si>
  <si>
    <t>CONSTRUCTION</t>
  </si>
  <si>
    <t>RENOVATION</t>
  </si>
  <si>
    <t>GENERAL REPAIR</t>
  </si>
  <si>
    <t>OTHER</t>
  </si>
  <si>
    <t>TOTAL ADDED</t>
  </si>
  <si>
    <t>ADDED</t>
  </si>
  <si>
    <t>REMARKS</t>
  </si>
  <si>
    <t>KAPILYA</t>
  </si>
  <si>
    <t>A-3</t>
  </si>
  <si>
    <t>HANDOG</t>
  </si>
  <si>
    <t>April 29, 1989</t>
  </si>
  <si>
    <t>April 1989</t>
  </si>
  <si>
    <t>CENTRAL</t>
  </si>
  <si>
    <t>BROKEN OR REMOVED</t>
  </si>
  <si>
    <t>PART</t>
  </si>
  <si>
    <t>COST</t>
  </si>
  <si>
    <t>TOTAL</t>
  </si>
  <si>
    <t>WALA PO</t>
  </si>
  <si>
    <t>WALA</t>
  </si>
  <si>
    <t>A-PH</t>
  </si>
  <si>
    <t>04/29/1989</t>
  </si>
  <si>
    <t>A</t>
  </si>
  <si>
    <t>B</t>
  </si>
  <si>
    <t>PASTORAL AND CARETAKER HOUSE</t>
  </si>
  <si>
    <t>CODE</t>
  </si>
  <si>
    <t>C</t>
  </si>
  <si>
    <t>MINISTERIAL,PANANALAPI, KALIHIMAN</t>
  </si>
  <si>
    <t>ADL-1</t>
  </si>
  <si>
    <t>D</t>
  </si>
  <si>
    <t>PUMP HOUSE</t>
  </si>
  <si>
    <t>GUARD HOUSE</t>
  </si>
  <si>
    <t>APH-1</t>
  </si>
  <si>
    <t>NOTE: BUILDING CODE (A FOR KAPILYA, B FOR PASTORAL AND CARETAKER HOUSE, C FOR MINISTERIAL, FINANCE, SECRETARIAT OFFICES, D FOR OTHER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</si>
</sst>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m\ dd\,\ 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2" fillId="0" borderId="0" xfId="0" applyFont="1"/>
    <xf numFmtId="43" fontId="0" fillId="0" borderId="0" xfId="1" applyFont="1"/>
    <xf numFmtId="0" fontId="5" fillId="0" borderId="0" xfId="0" applyFont="1"/>
    <xf numFmtId="43" fontId="3" fillId="3" borderId="0" xfId="0" applyNumberFormat="1" applyFont="1" applyFill="1"/>
    <xf numFmtId="0" fontId="6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E220-6C42-4444-A0D2-E173D25E5392}">
  <dimension ref="A1:S40"/>
  <sheetViews>
    <sheetView tabSelected="1" workbookViewId="0">
      <selection activeCell="G20" sqref="G20"/>
    </sheetView>
  </sheetViews>
  <sheetFormatPr defaultRowHeight="14.4" x14ac:dyDescent="0.3"/>
  <cols>
    <col min="2" max="2" width="35" bestFit="1" customWidth="1"/>
    <col min="3" max="3" width="13.88671875" bestFit="1" customWidth="1"/>
    <col min="4" max="4" width="8.33203125" bestFit="1" customWidth="1"/>
    <col min="5" max="5" width="12.33203125" customWidth="1"/>
    <col min="6" max="6" width="16.44140625" bestFit="1" customWidth="1"/>
    <col min="7" max="7" width="13.44140625" bestFit="1" customWidth="1"/>
    <col min="8" max="8" width="12.6640625" customWidth="1"/>
    <col min="9" max="9" width="9.109375" bestFit="1" customWidth="1"/>
    <col min="10" max="10" width="16.6640625" bestFit="1" customWidth="1"/>
    <col min="11" max="11" width="14.44140625" bestFit="1" customWidth="1"/>
    <col min="12" max="12" width="12" bestFit="1" customWidth="1"/>
    <col min="13" max="13" width="15.109375" bestFit="1" customWidth="1"/>
    <col min="15" max="15" width="12.21875" bestFit="1" customWidth="1"/>
    <col min="19" max="19" width="12.77734375" bestFit="1" customWidth="1"/>
  </cols>
  <sheetData>
    <row r="1" spans="1:19" ht="18" x14ac:dyDescent="0.35">
      <c r="A1" s="10" t="s">
        <v>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8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8" x14ac:dyDescent="0.35">
      <c r="B3" s="3" t="s">
        <v>0</v>
      </c>
      <c r="C3" t="s">
        <v>3</v>
      </c>
      <c r="D3" s="3" t="s">
        <v>1</v>
      </c>
      <c r="E3" t="s">
        <v>2</v>
      </c>
      <c r="F3" s="3" t="s">
        <v>4</v>
      </c>
      <c r="G3" s="1">
        <v>45733</v>
      </c>
      <c r="I3" s="5" t="s">
        <v>35</v>
      </c>
      <c r="J3" s="6">
        <f>SUM(S7:S32)</f>
        <v>2438293.9399999995</v>
      </c>
    </row>
    <row r="4" spans="1:19" x14ac:dyDescent="0.3">
      <c r="B4" s="3" t="s">
        <v>5</v>
      </c>
      <c r="C4" s="2" t="s">
        <v>6</v>
      </c>
      <c r="D4" s="3" t="s">
        <v>8</v>
      </c>
      <c r="E4" s="2" t="s">
        <v>7</v>
      </c>
      <c r="F4" s="3" t="s">
        <v>9</v>
      </c>
      <c r="G4">
        <v>2024</v>
      </c>
    </row>
    <row r="5" spans="1:19" ht="18" x14ac:dyDescent="0.35">
      <c r="K5" s="8" t="s">
        <v>24</v>
      </c>
      <c r="L5" s="8"/>
      <c r="M5" s="8"/>
      <c r="N5" s="8"/>
      <c r="O5" s="8"/>
      <c r="Q5" s="9" t="s">
        <v>32</v>
      </c>
      <c r="R5" s="9"/>
    </row>
    <row r="6" spans="1:19" x14ac:dyDescent="0.3">
      <c r="A6" s="3" t="s">
        <v>43</v>
      </c>
      <c r="B6" s="3" t="s">
        <v>10</v>
      </c>
      <c r="C6" s="3" t="s">
        <v>18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17</v>
      </c>
      <c r="I6" s="3" t="s">
        <v>16</v>
      </c>
      <c r="J6" s="3" t="s">
        <v>15</v>
      </c>
      <c r="K6" s="3" t="s">
        <v>19</v>
      </c>
      <c r="L6" s="3" t="s">
        <v>20</v>
      </c>
      <c r="M6" s="3" t="s">
        <v>21</v>
      </c>
      <c r="N6" s="3" t="s">
        <v>22</v>
      </c>
      <c r="O6" s="3" t="s">
        <v>23</v>
      </c>
      <c r="P6" s="3" t="s">
        <v>25</v>
      </c>
      <c r="Q6" s="3" t="s">
        <v>33</v>
      </c>
      <c r="R6" s="3" t="s">
        <v>34</v>
      </c>
      <c r="S6" s="3" t="s">
        <v>35</v>
      </c>
    </row>
    <row r="7" spans="1:19" x14ac:dyDescent="0.3">
      <c r="A7" t="s">
        <v>40</v>
      </c>
      <c r="B7" t="s">
        <v>26</v>
      </c>
      <c r="C7" s="4">
        <v>1897535.51</v>
      </c>
      <c r="D7" t="s">
        <v>27</v>
      </c>
      <c r="E7" t="s">
        <v>28</v>
      </c>
      <c r="F7" s="2" t="s">
        <v>29</v>
      </c>
      <c r="G7" s="2" t="s">
        <v>30</v>
      </c>
      <c r="H7" t="s">
        <v>31</v>
      </c>
      <c r="I7">
        <v>300</v>
      </c>
      <c r="J7" s="4">
        <v>1897535.51</v>
      </c>
      <c r="K7" t="s">
        <v>36</v>
      </c>
      <c r="L7" t="s">
        <v>36</v>
      </c>
      <c r="M7" t="s">
        <v>36</v>
      </c>
      <c r="N7" t="s">
        <v>36</v>
      </c>
      <c r="O7" s="4">
        <f>IF(COUNTA(K7:N7)=0,"",SUM(K7:N7))</f>
        <v>0</v>
      </c>
      <c r="Q7" t="s">
        <v>37</v>
      </c>
      <c r="R7">
        <v>0</v>
      </c>
      <c r="S7" s="4">
        <f>IF(J7 + IFERROR(O7*1,0) - IFERROR(R7*1,0)=0,"",J7 + IFERROR(O7*1,0) - IFERROR(R7*1,0))</f>
        <v>1897535.51</v>
      </c>
    </row>
    <row r="8" spans="1:19" x14ac:dyDescent="0.3">
      <c r="C8" s="4"/>
      <c r="F8" s="2"/>
      <c r="G8" s="2"/>
      <c r="J8" s="4"/>
      <c r="O8" s="4" t="str">
        <f t="shared" ref="O8:O39" si="0">IF(COUNTA(K8:N8)=0,"",SUM(K8:N8))</f>
        <v/>
      </c>
      <c r="S8" s="4" t="str">
        <f t="shared" ref="S8:S36" si="1">IF(J8 + IFERROR(O8*1,0) - IFERROR(R8*1,0)=0,"",J8 + IFERROR(O8*1,0) - IFERROR(R8*1,0))</f>
        <v/>
      </c>
    </row>
    <row r="9" spans="1:19" x14ac:dyDescent="0.3">
      <c r="A9" t="s">
        <v>41</v>
      </c>
      <c r="B9" t="s">
        <v>42</v>
      </c>
      <c r="C9" s="4">
        <v>288611.12</v>
      </c>
      <c r="D9" t="s">
        <v>38</v>
      </c>
      <c r="F9" s="2"/>
      <c r="G9" s="2" t="s">
        <v>39</v>
      </c>
      <c r="J9" s="4">
        <v>288611.12</v>
      </c>
      <c r="O9" s="4" t="str">
        <f t="shared" si="0"/>
        <v/>
      </c>
      <c r="S9" s="4">
        <f t="shared" si="1"/>
        <v>288611.12</v>
      </c>
    </row>
    <row r="10" spans="1:19" x14ac:dyDescent="0.3">
      <c r="C10" s="4"/>
      <c r="F10" s="2"/>
      <c r="G10" s="2"/>
      <c r="J10" s="4"/>
      <c r="O10" s="4" t="str">
        <f t="shared" si="0"/>
        <v/>
      </c>
      <c r="S10" s="4" t="str">
        <f t="shared" si="1"/>
        <v/>
      </c>
    </row>
    <row r="11" spans="1:19" x14ac:dyDescent="0.3">
      <c r="A11" t="s">
        <v>44</v>
      </c>
      <c r="B11" t="s">
        <v>45</v>
      </c>
      <c r="C11" s="4">
        <v>125874.82</v>
      </c>
      <c r="D11" t="s">
        <v>46</v>
      </c>
      <c r="F11" s="2"/>
      <c r="G11" s="2" t="s">
        <v>39</v>
      </c>
      <c r="J11" s="4">
        <v>125874.82</v>
      </c>
      <c r="O11" s="4" t="str">
        <f t="shared" si="0"/>
        <v/>
      </c>
      <c r="S11" s="4">
        <f t="shared" si="1"/>
        <v>125874.82</v>
      </c>
    </row>
    <row r="12" spans="1:19" x14ac:dyDescent="0.3">
      <c r="C12" s="4"/>
      <c r="F12" s="2"/>
      <c r="G12" s="2"/>
      <c r="J12" s="4"/>
      <c r="O12" s="4" t="str">
        <f t="shared" si="0"/>
        <v/>
      </c>
      <c r="S12" s="4" t="str">
        <f t="shared" si="1"/>
        <v/>
      </c>
    </row>
    <row r="13" spans="1:19" x14ac:dyDescent="0.3">
      <c r="A13" t="s">
        <v>47</v>
      </c>
      <c r="B13" t="s">
        <v>48</v>
      </c>
      <c r="C13" s="4"/>
      <c r="D13" t="s">
        <v>50</v>
      </c>
      <c r="F13" s="2"/>
      <c r="G13" s="2" t="s">
        <v>39</v>
      </c>
      <c r="J13" s="4">
        <v>114267.69</v>
      </c>
      <c r="O13" s="4" t="str">
        <f t="shared" si="0"/>
        <v/>
      </c>
      <c r="S13" s="4">
        <f t="shared" si="1"/>
        <v>114267.69</v>
      </c>
    </row>
    <row r="14" spans="1:19" x14ac:dyDescent="0.3">
      <c r="A14" t="s">
        <v>47</v>
      </c>
      <c r="B14" t="s">
        <v>49</v>
      </c>
      <c r="C14" s="4"/>
      <c r="F14" s="2"/>
      <c r="G14" s="2" t="s">
        <v>39</v>
      </c>
      <c r="J14" s="4">
        <v>12004.8</v>
      </c>
      <c r="O14" s="4" t="str">
        <f t="shared" si="0"/>
        <v/>
      </c>
      <c r="S14" s="4">
        <f t="shared" si="1"/>
        <v>12004.8</v>
      </c>
    </row>
    <row r="15" spans="1:19" x14ac:dyDescent="0.3">
      <c r="C15" s="4"/>
      <c r="F15" s="2"/>
      <c r="G15" s="2"/>
      <c r="J15" s="4"/>
      <c r="O15" s="4" t="str">
        <f t="shared" si="0"/>
        <v/>
      </c>
      <c r="S15" s="4" t="str">
        <f t="shared" si="1"/>
        <v/>
      </c>
    </row>
    <row r="16" spans="1:19" x14ac:dyDescent="0.3">
      <c r="C16" s="4"/>
      <c r="F16" s="2"/>
      <c r="G16" s="2"/>
      <c r="J16" s="4"/>
      <c r="O16" s="4" t="str">
        <f t="shared" si="0"/>
        <v/>
      </c>
      <c r="S16" s="4" t="str">
        <f t="shared" si="1"/>
        <v/>
      </c>
    </row>
    <row r="17" spans="3:19" x14ac:dyDescent="0.3">
      <c r="C17" s="4"/>
      <c r="F17" s="2"/>
      <c r="G17" s="2"/>
      <c r="J17" s="4"/>
      <c r="O17" s="4" t="str">
        <f t="shared" si="0"/>
        <v/>
      </c>
      <c r="S17" s="4" t="str">
        <f t="shared" si="1"/>
        <v/>
      </c>
    </row>
    <row r="18" spans="3:19" x14ac:dyDescent="0.3">
      <c r="C18" s="4"/>
      <c r="F18" s="2"/>
      <c r="G18" s="2"/>
      <c r="J18" s="4"/>
      <c r="O18" s="4" t="str">
        <f t="shared" si="0"/>
        <v/>
      </c>
      <c r="S18" s="4" t="str">
        <f t="shared" si="1"/>
        <v/>
      </c>
    </row>
    <row r="19" spans="3:19" x14ac:dyDescent="0.3">
      <c r="C19" s="4"/>
      <c r="F19" s="2"/>
      <c r="G19" s="2"/>
      <c r="J19" s="4"/>
      <c r="O19" s="4" t="str">
        <f t="shared" si="0"/>
        <v/>
      </c>
      <c r="S19" s="4" t="str">
        <f t="shared" si="1"/>
        <v/>
      </c>
    </row>
    <row r="20" spans="3:19" x14ac:dyDescent="0.3">
      <c r="C20" s="4"/>
      <c r="F20" s="2"/>
      <c r="G20" s="2"/>
      <c r="J20" s="4"/>
      <c r="O20" s="4" t="str">
        <f t="shared" si="0"/>
        <v/>
      </c>
      <c r="S20" s="4" t="str">
        <f t="shared" si="1"/>
        <v/>
      </c>
    </row>
    <row r="21" spans="3:19" x14ac:dyDescent="0.3">
      <c r="C21" s="4"/>
      <c r="F21" s="2"/>
      <c r="G21" s="2"/>
      <c r="J21" s="4"/>
      <c r="O21" s="4" t="str">
        <f t="shared" si="0"/>
        <v/>
      </c>
      <c r="S21" s="4" t="str">
        <f t="shared" si="1"/>
        <v/>
      </c>
    </row>
    <row r="22" spans="3:19" x14ac:dyDescent="0.3">
      <c r="C22" s="4"/>
      <c r="F22" s="2"/>
      <c r="G22" s="2"/>
      <c r="J22" s="4"/>
      <c r="O22" s="4" t="str">
        <f t="shared" si="0"/>
        <v/>
      </c>
      <c r="S22" s="4" t="str">
        <f t="shared" si="1"/>
        <v/>
      </c>
    </row>
    <row r="23" spans="3:19" x14ac:dyDescent="0.3">
      <c r="C23" s="4"/>
      <c r="F23" s="2"/>
      <c r="G23" s="2"/>
      <c r="J23" s="4"/>
      <c r="O23" s="4" t="str">
        <f t="shared" si="0"/>
        <v/>
      </c>
      <c r="S23" s="4" t="str">
        <f t="shared" si="1"/>
        <v/>
      </c>
    </row>
    <row r="24" spans="3:19" x14ac:dyDescent="0.3">
      <c r="C24" s="4"/>
      <c r="F24" s="2"/>
      <c r="G24" s="2"/>
      <c r="J24" s="4"/>
      <c r="O24" s="4" t="str">
        <f t="shared" si="0"/>
        <v/>
      </c>
      <c r="S24" s="4" t="str">
        <f t="shared" si="1"/>
        <v/>
      </c>
    </row>
    <row r="25" spans="3:19" x14ac:dyDescent="0.3">
      <c r="F25" s="2"/>
      <c r="G25" s="2"/>
      <c r="J25" s="4"/>
      <c r="O25" s="4" t="str">
        <f t="shared" si="0"/>
        <v/>
      </c>
      <c r="S25" s="4" t="str">
        <f t="shared" si="1"/>
        <v/>
      </c>
    </row>
    <row r="26" spans="3:19" x14ac:dyDescent="0.3">
      <c r="F26" s="2"/>
      <c r="G26" s="2"/>
      <c r="J26" s="4"/>
      <c r="O26" s="4" t="str">
        <f t="shared" si="0"/>
        <v/>
      </c>
      <c r="S26" s="4" t="str">
        <f t="shared" si="1"/>
        <v/>
      </c>
    </row>
    <row r="27" spans="3:19" x14ac:dyDescent="0.3">
      <c r="F27" s="2"/>
      <c r="G27" s="2"/>
      <c r="J27" s="4"/>
      <c r="O27" s="4" t="str">
        <f t="shared" si="0"/>
        <v/>
      </c>
      <c r="S27" s="4" t="str">
        <f t="shared" si="1"/>
        <v/>
      </c>
    </row>
    <row r="28" spans="3:19" x14ac:dyDescent="0.3">
      <c r="G28" s="2"/>
      <c r="J28" s="4"/>
      <c r="O28" s="4" t="str">
        <f t="shared" si="0"/>
        <v/>
      </c>
      <c r="S28" s="4" t="str">
        <f t="shared" si="1"/>
        <v/>
      </c>
    </row>
    <row r="29" spans="3:19" x14ac:dyDescent="0.3">
      <c r="J29" s="4"/>
      <c r="O29" s="4" t="str">
        <f t="shared" si="0"/>
        <v/>
      </c>
      <c r="S29" s="4" t="str">
        <f t="shared" si="1"/>
        <v/>
      </c>
    </row>
    <row r="30" spans="3:19" x14ac:dyDescent="0.3">
      <c r="J30" s="4"/>
      <c r="O30" s="4" t="str">
        <f t="shared" si="0"/>
        <v/>
      </c>
      <c r="S30" s="4" t="str">
        <f t="shared" si="1"/>
        <v/>
      </c>
    </row>
    <row r="31" spans="3:19" x14ac:dyDescent="0.3">
      <c r="J31" s="4"/>
      <c r="O31" s="4" t="str">
        <f t="shared" si="0"/>
        <v/>
      </c>
      <c r="S31" s="4" t="str">
        <f t="shared" si="1"/>
        <v/>
      </c>
    </row>
    <row r="32" spans="3:19" x14ac:dyDescent="0.3">
      <c r="J32" s="4"/>
      <c r="O32" s="4" t="str">
        <f t="shared" si="0"/>
        <v/>
      </c>
      <c r="S32" s="4" t="str">
        <f t="shared" si="1"/>
        <v/>
      </c>
    </row>
    <row r="33" spans="10:19" x14ac:dyDescent="0.3">
      <c r="J33" s="4"/>
      <c r="O33" s="4" t="str">
        <f t="shared" si="0"/>
        <v/>
      </c>
      <c r="S33" s="4" t="str">
        <f t="shared" si="1"/>
        <v/>
      </c>
    </row>
    <row r="34" spans="10:19" x14ac:dyDescent="0.3">
      <c r="J34" s="4"/>
      <c r="O34" s="4" t="str">
        <f t="shared" si="0"/>
        <v/>
      </c>
      <c r="S34" s="4" t="str">
        <f t="shared" si="1"/>
        <v/>
      </c>
    </row>
    <row r="35" spans="10:19" x14ac:dyDescent="0.3">
      <c r="J35" s="4"/>
      <c r="O35" s="4" t="str">
        <f t="shared" si="0"/>
        <v/>
      </c>
      <c r="S35" s="4" t="str">
        <f t="shared" si="1"/>
        <v/>
      </c>
    </row>
    <row r="36" spans="10:19" x14ac:dyDescent="0.3">
      <c r="J36" s="4"/>
      <c r="O36" s="4" t="str">
        <f t="shared" si="0"/>
        <v/>
      </c>
      <c r="S36" s="4" t="str">
        <f t="shared" si="1"/>
        <v/>
      </c>
    </row>
    <row r="37" spans="10:19" x14ac:dyDescent="0.3">
      <c r="J37" s="4"/>
      <c r="O37" s="4" t="str">
        <f t="shared" si="0"/>
        <v/>
      </c>
      <c r="S37" s="4"/>
    </row>
    <row r="38" spans="10:19" x14ac:dyDescent="0.3">
      <c r="O38" s="4" t="str">
        <f t="shared" si="0"/>
        <v/>
      </c>
      <c r="S38" s="4"/>
    </row>
    <row r="39" spans="10:19" x14ac:dyDescent="0.3">
      <c r="O39" s="4" t="str">
        <f t="shared" si="0"/>
        <v/>
      </c>
    </row>
    <row r="40" spans="10:19" x14ac:dyDescent="0.3">
      <c r="O40" s="4"/>
    </row>
  </sheetData>
  <dataConsolidate/>
  <mergeCells count="3">
    <mergeCell ref="K5:O5"/>
    <mergeCell ref="Q5:R5"/>
    <mergeCell ref="A1:S1"/>
  </mergeCells>
  <dataValidations count="3">
    <dataValidation type="list" errorStyle="information" allowBlank="1" showInputMessage="1" showErrorMessage="1" errorTitle="Pakituwid po ang inyong kasaguta" sqref="H7" xr:uid="{A674269E-E2D2-45C9-8D0F-6940DFA06B91}">
      <formula1>"CENTRAL, DISTRICT, LOKAL"</formula1>
    </dataValidation>
    <dataValidation type="list" allowBlank="1" showInputMessage="1" showErrorMessage="1" sqref="E7" xr:uid="{2D03893D-4113-49F4-9460-B4D9F738EE2C}">
      <formula1>"HANDOG, HINDI "</formula1>
    </dataValidation>
    <dataValidation type="list" allowBlank="1" showInputMessage="1" showErrorMessage="1" sqref="B11 B7:B8 B13:B15 B17:B35 B16 B10" xr:uid="{E27625D1-8666-4C93-A76E-011F6B3687B1}">
      <formula1>"KAPILYA, PASTORAL HOUSE &amp; CARETAKER HOUSE, PASTORAL HOUSE, CARETAKER HOUSE, MINISTERIAL PANANALAPI KALIHIMAN, MINISTERIAL,PANANALAPI,KALIHIMAN, PUMP HOUSE, GUARD HOUSE"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Melchor Tampus</dc:creator>
  <cp:lastModifiedBy>Melchor Tampus</cp:lastModifiedBy>
  <dcterms:created xsi:type="dcterms:W3CDTF">2025-12-15T23:08:47Z</dcterms:created>
  <dcterms:modified xsi:type="dcterms:W3CDTF">2025-12-16T05:53:56Z</dcterms:modified>
</cp:coreProperties>
</file>