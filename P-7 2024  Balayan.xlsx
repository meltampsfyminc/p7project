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Projects\p7project\"/>
    </mc:Choice>
  </mc:AlternateContent>
  <xr:revisionPtr revIDLastSave="0" documentId="13_ncr:1_{907C2BCA-6D00-4C49-BA3F-A7B74A35C93B}" xr6:coauthVersionLast="47" xr6:coauthVersionMax="47" xr10:uidLastSave="{00000000-0000-0000-0000-000000000000}"/>
  <bookViews>
    <workbookView xWindow="3420" yWindow="1536" windowWidth="14868" windowHeight="16092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38" i="4" l="1"/>
  <c r="DC275" i="2"/>
  <c r="DC340" i="2"/>
  <c r="DC315" i="2"/>
  <c r="DC76" i="2"/>
  <c r="CA15" i="5" l="1"/>
  <c r="BL16" i="6" s="1"/>
  <c r="BL18" i="6"/>
  <c r="BM31" i="5"/>
  <c r="CA31" i="5" s="1"/>
  <c r="BL17" i="6" s="1"/>
  <c r="DE21" i="3"/>
  <c r="DU21" i="3" s="1"/>
  <c r="CR36" i="4" s="1"/>
  <c r="DC293" i="2"/>
  <c r="DC255" i="2"/>
  <c r="DC339" i="2" l="1"/>
  <c r="DC338" i="2"/>
  <c r="DC337" i="2"/>
  <c r="DC336" i="2"/>
  <c r="DC335" i="2"/>
  <c r="DC334" i="2"/>
  <c r="DC333" i="2"/>
  <c r="DC332" i="2"/>
  <c r="DC331" i="2"/>
  <c r="DC330" i="2"/>
  <c r="DC314" i="2"/>
  <c r="DC313" i="2"/>
  <c r="DC312" i="2"/>
  <c r="DC311" i="2"/>
  <c r="DC310" i="2"/>
  <c r="DC309" i="2"/>
  <c r="DC308" i="2"/>
  <c r="DC307" i="2"/>
  <c r="DC306" i="2"/>
  <c r="DC305" i="2"/>
  <c r="DC304" i="2"/>
  <c r="DC303" i="2"/>
  <c r="DC301" i="2"/>
  <c r="DC300" i="2"/>
  <c r="DC299" i="2"/>
  <c r="DC298" i="2"/>
  <c r="DC297" i="2"/>
  <c r="DC296" i="2"/>
  <c r="DC295" i="2"/>
  <c r="DC294" i="2"/>
  <c r="DC292" i="2"/>
  <c r="DC291" i="2"/>
  <c r="DC290" i="2"/>
  <c r="DC274" i="2"/>
  <c r="DC273" i="2"/>
  <c r="DC272" i="2"/>
  <c r="DC271" i="2"/>
  <c r="DC270" i="2"/>
  <c r="DC269" i="2"/>
  <c r="DC268" i="2"/>
  <c r="DC267" i="2"/>
  <c r="DC266" i="2"/>
  <c r="DC265" i="2"/>
  <c r="DC264" i="2"/>
  <c r="DC263" i="2"/>
  <c r="DC262" i="2"/>
  <c r="DC261" i="2"/>
  <c r="DC259" i="2"/>
  <c r="DC258" i="2"/>
  <c r="DC257" i="2"/>
  <c r="DC256" i="2"/>
  <c r="DC254" i="2"/>
  <c r="DC253" i="2"/>
  <c r="DC252" i="2"/>
  <c r="DC251" i="2"/>
  <c r="DC250" i="2"/>
  <c r="DC235" i="2"/>
  <c r="DC234" i="2"/>
  <c r="DC233" i="2"/>
  <c r="DC232" i="2"/>
  <c r="DC231" i="2"/>
  <c r="DC230" i="2"/>
  <c r="DC229" i="2"/>
  <c r="DC228" i="2"/>
  <c r="DC227" i="2"/>
  <c r="DC226" i="2"/>
  <c r="DC225" i="2"/>
  <c r="DC224" i="2"/>
  <c r="DC223" i="2"/>
  <c r="DC222" i="2"/>
  <c r="DC221" i="2"/>
  <c r="DC220" i="2"/>
  <c r="DC219" i="2"/>
  <c r="DC218" i="2"/>
  <c r="DC217" i="2"/>
  <c r="DC216" i="2"/>
  <c r="DC215" i="2"/>
  <c r="DC214" i="2"/>
  <c r="DC213" i="2"/>
  <c r="DC212" i="2"/>
  <c r="DC211" i="2"/>
  <c r="DC210" i="2"/>
  <c r="DC195" i="2"/>
  <c r="DC194" i="2"/>
  <c r="DC193" i="2"/>
  <c r="DC192" i="2"/>
  <c r="DC191" i="2"/>
  <c r="DC190" i="2"/>
  <c r="DC189" i="2"/>
  <c r="DC188" i="2"/>
  <c r="DC187" i="2"/>
  <c r="DC186" i="2"/>
  <c r="DC185" i="2"/>
  <c r="DC184" i="2"/>
  <c r="DC183" i="2"/>
  <c r="DC182" i="2"/>
  <c r="DC181" i="2"/>
  <c r="DC180" i="2"/>
  <c r="DC179" i="2"/>
  <c r="DC178" i="2"/>
  <c r="DC177" i="2"/>
  <c r="DC176" i="2"/>
  <c r="DC175" i="2"/>
  <c r="DC174" i="2"/>
  <c r="DC173" i="2"/>
  <c r="DC172" i="2"/>
  <c r="DC171" i="2"/>
  <c r="DC170" i="2"/>
  <c r="DC155" i="2"/>
  <c r="DC154" i="2"/>
  <c r="DC153" i="2"/>
  <c r="DC152" i="2"/>
  <c r="DC151" i="2"/>
  <c r="DC150" i="2"/>
  <c r="DC149" i="2"/>
  <c r="DC148" i="2"/>
  <c r="DC147" i="2"/>
  <c r="DC146" i="2"/>
  <c r="DC145" i="2"/>
  <c r="DC144" i="2"/>
  <c r="DC143" i="2"/>
  <c r="DC142" i="2"/>
  <c r="DC141" i="2"/>
  <c r="DC140" i="2"/>
  <c r="DC139" i="2"/>
  <c r="DC138" i="2"/>
  <c r="DC137" i="2"/>
  <c r="DC136" i="2"/>
  <c r="DC135" i="2"/>
  <c r="DC134" i="2"/>
  <c r="DC133" i="2"/>
  <c r="DC132" i="2"/>
  <c r="DC131" i="2"/>
  <c r="DC130" i="2"/>
  <c r="DC114" i="2"/>
  <c r="DC113" i="2"/>
  <c r="DC112" i="2"/>
  <c r="DC110" i="2"/>
  <c r="DC109" i="2"/>
  <c r="DC108" i="2"/>
  <c r="DC107" i="2"/>
  <c r="DC105" i="2"/>
  <c r="DC104" i="2"/>
  <c r="DC103" i="2"/>
  <c r="DC102" i="2"/>
  <c r="DC100" i="2"/>
  <c r="DC99" i="2"/>
  <c r="DC98" i="2"/>
  <c r="DC97" i="2"/>
  <c r="DC96" i="2"/>
  <c r="DC95" i="2"/>
  <c r="DC94" i="2"/>
  <c r="DC93" i="2"/>
  <c r="DC92" i="2"/>
  <c r="DC91" i="2"/>
  <c r="DC90" i="2"/>
  <c r="DC75" i="2"/>
  <c r="DC74" i="2"/>
  <c r="DC73" i="2"/>
  <c r="DC72" i="2"/>
  <c r="DC71" i="2"/>
  <c r="DC70" i="2"/>
  <c r="DC69" i="2"/>
  <c r="DC68" i="2"/>
  <c r="DC67" i="2"/>
  <c r="DC66" i="2"/>
  <c r="DC65" i="2"/>
  <c r="DC64" i="2"/>
  <c r="DC63" i="2"/>
  <c r="DC62" i="2"/>
  <c r="DC61" i="2"/>
  <c r="DC60" i="2"/>
  <c r="DC59" i="2"/>
  <c r="DC58" i="2"/>
  <c r="DC57" i="2"/>
  <c r="DC56" i="2"/>
  <c r="DC55" i="2"/>
  <c r="DC54" i="2"/>
  <c r="DC53" i="2"/>
  <c r="DC52" i="2"/>
  <c r="DC51" i="2"/>
  <c r="DC50" i="2"/>
  <c r="DC35" i="2"/>
  <c r="DC34" i="2"/>
  <c r="DC33" i="2"/>
  <c r="DC32" i="2"/>
  <c r="DC31" i="2"/>
  <c r="DC30" i="2"/>
  <c r="DC29" i="2"/>
  <c r="DC28" i="2"/>
  <c r="DC27" i="2"/>
  <c r="DC26" i="2"/>
  <c r="DC25" i="2"/>
  <c r="DC24" i="2"/>
  <c r="DC23" i="2"/>
  <c r="DC22" i="2"/>
  <c r="DC21" i="2"/>
  <c r="DC20" i="2"/>
  <c r="DC19" i="2"/>
  <c r="DC18" i="2"/>
  <c r="DC17" i="2"/>
  <c r="DC16" i="2"/>
  <c r="DC15" i="2"/>
  <c r="DC14" i="2"/>
  <c r="DC13" i="2"/>
  <c r="DC12" i="2"/>
  <c r="DC11" i="2"/>
  <c r="DC10" i="2"/>
  <c r="BR44" i="1"/>
  <c r="BP44" i="1"/>
  <c r="BR43" i="1"/>
  <c r="BR46" i="1" s="1"/>
  <c r="CA46" i="1" s="1"/>
  <c r="AS13" i="6" s="1"/>
  <c r="BP43" i="1"/>
  <c r="BR39" i="1"/>
  <c r="CA39" i="1" s="1"/>
  <c r="AS12" i="6" s="1"/>
  <c r="BR37" i="1"/>
  <c r="BP37" i="1"/>
  <c r="BR28" i="1"/>
  <c r="BR32" i="1" s="1"/>
  <c r="CA32" i="1" s="1"/>
  <c r="AS11" i="6" s="1"/>
  <c r="BP28" i="1"/>
  <c r="BE32" i="1" s="1"/>
  <c r="BE39" i="1" s="1"/>
  <c r="BE46" i="1" s="1"/>
  <c r="BG12" i="1"/>
  <c r="BG21" i="1" s="1"/>
  <c r="CA21" i="1" l="1"/>
  <c r="AS10" i="6" s="1"/>
  <c r="BH48" i="1"/>
  <c r="CA48" i="1" s="1"/>
  <c r="BL14" i="6" s="1"/>
  <c r="DC156" i="2"/>
  <c r="BM376" i="2" s="1"/>
  <c r="BM374" i="2"/>
  <c r="DC356" i="2"/>
  <c r="BM381" i="2" s="1"/>
  <c r="DC316" i="2"/>
  <c r="BM380" i="2" s="1"/>
  <c r="DC276" i="2"/>
  <c r="BM379" i="2" s="1"/>
  <c r="DC236" i="2"/>
  <c r="BM378" i="2" s="1"/>
  <c r="DC36" i="2"/>
  <c r="BM373" i="2" s="1"/>
  <c r="DC196" i="2"/>
  <c r="BM377" i="2" s="1"/>
  <c r="DC116" i="2"/>
  <c r="BM375" i="2" s="1"/>
  <c r="DC396" i="2" l="1"/>
  <c r="DU396" i="2" s="1"/>
  <c r="CR35" i="4" s="1"/>
  <c r="DU38" i="4" s="1"/>
  <c r="BL15" i="6" s="1"/>
  <c r="BL1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Demz</author>
  </authors>
  <commentList>
    <comment ref="BY10" authorId="0" shapeId="0" xr:uid="{00000000-0006-0000-0300-000001000000}">
      <text>
        <r>
          <rPr>
            <b/>
            <sz val="9"/>
            <rFont val="Tahoma"/>
            <family val="2"/>
          </rPr>
          <t>Demz:</t>
        </r>
        <r>
          <rPr>
            <sz val="9"/>
            <rFont val="Tahoma"/>
            <family val="2"/>
          </rPr>
          <t xml:space="preserve">
</t>
        </r>
      </text>
    </comment>
    <comment ref="BY18" authorId="0" shapeId="0" xr:uid="{00000000-0006-0000-0300-000002000000}">
      <text>
        <r>
          <rPr>
            <b/>
            <sz val="9"/>
            <rFont val="Tahoma"/>
            <family val="2"/>
          </rPr>
          <t>Demz:</t>
        </r>
        <r>
          <rPr>
            <sz val="9"/>
            <rFont val="Tahoma"/>
            <family val="2"/>
          </rPr>
          <t xml:space="preserve">
</t>
        </r>
      </text>
    </comment>
    <comment ref="BY19" authorId="0" shapeId="0" xr:uid="{00000000-0006-0000-0300-000003000000}">
      <text>
        <r>
          <rPr>
            <b/>
            <sz val="9"/>
            <rFont val="Tahoma"/>
            <family val="2"/>
          </rPr>
          <t>Demz: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<sst xmlns="http://schemas.openxmlformats.org/spreadsheetml/2006/main" count="2539" uniqueCount="861">
  <si>
    <t>P-7</t>
  </si>
  <si>
    <t>TAUNANG ULAT UKOL SA IMBENTARYO</t>
  </si>
  <si>
    <t>YEAR</t>
  </si>
  <si>
    <t>(ANNUAL INVENTORY REPORT)</t>
  </si>
  <si>
    <t>Lokal:</t>
  </si>
  <si>
    <t>Distrito:</t>
  </si>
  <si>
    <t>Batangas</t>
  </si>
  <si>
    <t>Petsa ng Pag-uulat:</t>
  </si>
  <si>
    <t>Dcode:</t>
  </si>
  <si>
    <t>Lcode:</t>
  </si>
  <si>
    <t>1.        UKOL SA MGA GUSALI:</t>
  </si>
  <si>
    <t>A. KAPILYA</t>
  </si>
  <si>
    <t>Class</t>
  </si>
  <si>
    <t>(</t>
  </si>
  <si>
    <t>)</t>
  </si>
  <si>
    <t>Handog</t>
  </si>
  <si>
    <t>Petsa ng Ihandog:</t>
  </si>
  <si>
    <t>Original na Halaga ng Kapilya</t>
  </si>
  <si>
    <t>S. Cap.</t>
  </si>
  <si>
    <t>Di-Handog</t>
  </si>
  <si>
    <t>Petsa ng Mayari:</t>
  </si>
  <si>
    <t>P</t>
  </si>
  <si>
    <t>PAGAWA NG:</t>
  </si>
  <si>
    <t>Central</t>
  </si>
  <si>
    <t>Distrito</t>
  </si>
  <si>
    <t>Lokal</t>
  </si>
  <si>
    <t>Iba pa , specify:</t>
  </si>
  <si>
    <t>1.</t>
  </si>
  <si>
    <t>Kabuuang Halaga ng Kapilya ayon sa ulat ng nakaraang taon</t>
  </si>
  <si>
    <t>2.</t>
  </si>
  <si>
    <t>NADAGDAG sa taong ito::</t>
  </si>
  <si>
    <t>Construction</t>
  </si>
  <si>
    <t>Renovation</t>
  </si>
  <si>
    <t>General Repair</t>
  </si>
  <si>
    <t>Iba Pa</t>
  </si>
  <si>
    <t>KABUUAN NG NADAGDAG</t>
  </si>
  <si>
    <r>
      <rPr>
        <b/>
        <sz val="16"/>
        <color theme="1"/>
        <rFont val="Times New Roman"/>
        <family val="1"/>
      </rPr>
      <t xml:space="preserve">NABAWAS </t>
    </r>
    <r>
      <rPr>
        <sz val="12"/>
        <color theme="1"/>
        <rFont val="Times New Roman"/>
        <family val="1"/>
      </rPr>
      <t>sa taong ito (Anong bahagi ang nasira o nabawas?</t>
    </r>
  </si>
  <si>
    <t>KABUUANG HALAGA NG KAPILYA SA TAONG ITO</t>
  </si>
  <si>
    <t>PANSIN:</t>
  </si>
  <si>
    <t>B. PASTORAL &amp; RES. HOUSES:</t>
  </si>
  <si>
    <t>RESIDENSIYA / PASTORAL</t>
  </si>
  <si>
    <t>CLASS</t>
  </si>
  <si>
    <t>PETSA</t>
  </si>
  <si>
    <t>DATING</t>
  </si>
  <si>
    <t>NADAGDAG SA</t>
  </si>
  <si>
    <t>NABAWAS SA</t>
  </si>
  <si>
    <t>KABUUAN</t>
  </si>
  <si>
    <t>HOUSE AT IBA PA</t>
  </si>
  <si>
    <t>MAYARI</t>
  </si>
  <si>
    <t>HALAGA</t>
  </si>
  <si>
    <t>TAONG ITO</t>
  </si>
  <si>
    <t>KABUUANG HALAGA NG PASTORAL HOUSE AT IBA PANG RESIDENSIYA</t>
  </si>
  <si>
    <t>C. OPISINA:</t>
  </si>
  <si>
    <t>MGA OPISINA NG LOKAL</t>
  </si>
  <si>
    <t>(BUKOD NA GUSALI)</t>
  </si>
  <si>
    <t>KABUUANG HALAGA NG MGA OPISINA SA TAONG ITO</t>
  </si>
  <si>
    <t>D. IBA PANG MGA GUSALI:</t>
  </si>
  <si>
    <t>IBA PANG MGA GUSALI</t>
  </si>
  <si>
    <t>KABUUANG HALAGA NG IBA PANG MGA GUSALI SA TAONG ITO</t>
  </si>
  <si>
    <t>KABUUANG HALAGA NG MGA GUSALI SA TAONG ITO</t>
  </si>
  <si>
    <t>Page 1</t>
  </si>
  <si>
    <t>Taunang ulat ukol sa Imbentaryo (P-7)</t>
  </si>
  <si>
    <t>Year:</t>
  </si>
  <si>
    <r>
      <rPr>
        <b/>
        <sz val="16"/>
        <color theme="1"/>
        <rFont val="Times New Roman"/>
        <family val="1"/>
      </rPr>
      <t xml:space="preserve">II-A.  Mga kagamitan ng lokal ayon sa ulat ng nakaraang taon:  </t>
    </r>
    <r>
      <rPr>
        <sz val="11"/>
        <color theme="1"/>
        <rFont val="Times New Roman"/>
        <family val="1"/>
      </rPr>
      <t>(Tiyakin na ang lahat ng dati ng kagamitan na nasa ulat ng nakaraang taon ay nakatala sa bahaging ito ng ayon sa bawat dakong kinaroroonan ng mga ito.  Huwag itala</t>
    </r>
  </si>
  <si>
    <t xml:space="preserve"> sa bahaging ito ang mga kagamitang hindi naisama sa ulat ng nakaraang taon at ang mga nadagdag sa taong ito.)</t>
  </si>
  <si>
    <t>Date</t>
  </si>
  <si>
    <t>D E S C R I P T I O N</t>
  </si>
  <si>
    <t>Kaukulan</t>
  </si>
  <si>
    <t>IIN</t>
  </si>
  <si>
    <t>Received</t>
  </si>
  <si>
    <t>Qty</t>
  </si>
  <si>
    <t>Items</t>
  </si>
  <si>
    <t>Brand</t>
  </si>
  <si>
    <t>Model</t>
  </si>
  <si>
    <t>Make</t>
  </si>
  <si>
    <t>Color</t>
  </si>
  <si>
    <t>Size</t>
  </si>
  <si>
    <t>Serial#</t>
  </si>
  <si>
    <t>Unit Price</t>
  </si>
  <si>
    <t>Amount</t>
  </si>
  <si>
    <t>Remarks</t>
  </si>
  <si>
    <t xml:space="preserve"> </t>
  </si>
  <si>
    <t>KABUUANG HALAGA NG MGA KAGAMITAN AYON SA ULAT NG NAKARAANG TAON  ………….</t>
  </si>
  <si>
    <t>Page 2</t>
  </si>
  <si>
    <t>Taunang ulat sa Imbentaryo (P-7)</t>
  </si>
  <si>
    <r>
      <rPr>
        <b/>
        <sz val="16"/>
        <color theme="1"/>
        <rFont val="Times New Roman"/>
        <family val="1"/>
      </rPr>
      <t xml:space="preserve">II-B.  Nadagdag na mga kagamitan sa taong ito: </t>
    </r>
    <r>
      <rPr>
        <sz val="11"/>
        <color theme="1"/>
        <rFont val="Times New Roman"/>
        <family val="1"/>
      </rPr>
      <t>(Tiyakin na ang lahat ng kagamitan na nakatala dito ay may pinagtibay na P-10 o P-10-2 at naiulat na sa P-7-E.)</t>
    </r>
  </si>
  <si>
    <t>Unit</t>
  </si>
  <si>
    <t>P10# or</t>
  </si>
  <si>
    <t>Dako/Kaukulan</t>
  </si>
  <si>
    <t>Price</t>
  </si>
  <si>
    <t>P10-2#</t>
  </si>
  <si>
    <t>Wala po</t>
  </si>
  <si>
    <t>KABUUANG HALAGA  ………….</t>
  </si>
  <si>
    <t>Page 3</t>
  </si>
  <si>
    <r>
      <rPr>
        <b/>
        <sz val="16"/>
        <color theme="1"/>
        <rFont val="Times New Roman"/>
        <family val="1"/>
      </rPr>
      <t xml:space="preserve">II-C. Nabawas na mga kagamitan sa taong ito: </t>
    </r>
    <r>
      <rPr>
        <sz val="11"/>
        <color theme="1"/>
        <rFont val="Times New Roman"/>
        <family val="1"/>
      </rPr>
      <t>(Tiyakin na ang lahat ng kagamitan na nakatala dito ay may sulat-kahilingang pinagtibay ng Central at iniulat sa P-7-E.)</t>
    </r>
  </si>
  <si>
    <t>Dahilan</t>
  </si>
  <si>
    <t>Dakong Pinagmulan o</t>
  </si>
  <si>
    <t>(Ipinagbili, Ipinamigay,</t>
  </si>
  <si>
    <t>Approved</t>
  </si>
  <si>
    <t>Gumamit</t>
  </si>
  <si>
    <t>Itinapon, nawala, iba pa)</t>
  </si>
  <si>
    <t>Number</t>
  </si>
  <si>
    <t>KABUUANG HALAGA NG NABAWAS SA TAONG ITO ……………</t>
  </si>
  <si>
    <t>R   E   S   U   M   E   N</t>
  </si>
  <si>
    <t>II-A</t>
  </si>
  <si>
    <t>Kabuuang Halaga ng mga Kagamitan ayon sa ulat ng nakaraang taon ………………………………………..</t>
  </si>
  <si>
    <t>II-B</t>
  </si>
  <si>
    <r>
      <rPr>
        <b/>
        <i/>
        <sz val="15"/>
        <color theme="1"/>
        <rFont val="Times New Roman"/>
        <family val="1"/>
      </rPr>
      <t>Idagdag</t>
    </r>
    <r>
      <rPr>
        <b/>
        <sz val="15"/>
        <color theme="1"/>
        <rFont val="Times New Roman"/>
        <family val="1"/>
      </rPr>
      <t>:  Kabuuang Halaga ng NADAGDAG sa taong ito  …………………………………………………….</t>
    </r>
  </si>
  <si>
    <t>II-C</t>
  </si>
  <si>
    <t>Ibawas:  Kabuuang Halaga ng NABAWAS sa taong ito …………………………………………………………</t>
  </si>
  <si>
    <t>KABUUANG HALAGA NG MGA KAGAMITAN SA TAONG ITO ………….</t>
  </si>
  <si>
    <t>Page 4</t>
  </si>
  <si>
    <t>Taunang Ulat ukol sa Imbentaryo (P-7)</t>
  </si>
  <si>
    <r>
      <rPr>
        <b/>
        <sz val="16"/>
        <color theme="1"/>
        <rFont val="Times New Roman"/>
        <family val="1"/>
      </rPr>
      <t xml:space="preserve">III. UKOL SA LUPA: </t>
    </r>
    <r>
      <rPr>
        <i/>
        <sz val="16"/>
        <color theme="1"/>
        <rFont val="Times New Roman"/>
        <family val="1"/>
      </rPr>
      <t>(Ang itala lamang dito ay ang pag-aaral ng Iglesia)</t>
    </r>
  </si>
  <si>
    <t>Area</t>
  </si>
  <si>
    <t>Pansin</t>
  </si>
  <si>
    <t>Lupa</t>
  </si>
  <si>
    <t>Complete Address</t>
  </si>
  <si>
    <t>(Sq.mtrs.)</t>
  </si>
  <si>
    <t>Acquired</t>
  </si>
  <si>
    <t>Halaga</t>
  </si>
  <si>
    <t>Gusali na nasa lupa</t>
  </si>
  <si>
    <t>(Titulado/Free Patent)</t>
  </si>
  <si>
    <t>Nadagdag: Lupang nabili sa taong ito:</t>
  </si>
  <si>
    <r>
      <rPr>
        <b/>
        <sz val="14"/>
        <color theme="1"/>
        <rFont val="Times New Roman"/>
        <family val="1"/>
      </rPr>
      <t xml:space="preserve">Nabawas: Lupang ibinawas sa taong ito: </t>
    </r>
    <r>
      <rPr>
        <i/>
        <sz val="14"/>
        <color theme="1"/>
        <rFont val="Times New Roman"/>
        <family val="1"/>
      </rPr>
      <t>(Maglakip ng paliwanag.)</t>
    </r>
  </si>
  <si>
    <t>KABUUANG HALAGA NG LUPA SA TAONG ITO ………</t>
  </si>
  <si>
    <t>Kung wala pang sariling lupa ang lokal, ano ang lupang kinatatayuan ng kapilya?</t>
  </si>
  <si>
    <t>hiram</t>
  </si>
  <si>
    <t>lease</t>
  </si>
  <si>
    <t>Kanino?</t>
  </si>
  <si>
    <t>Ilang taon ang kontrata?</t>
  </si>
  <si>
    <t>Halaga:</t>
  </si>
  <si>
    <r>
      <rPr>
        <b/>
        <sz val="16"/>
        <color theme="1"/>
        <rFont val="Times New Roman"/>
        <family val="1"/>
      </rPr>
      <t xml:space="preserve">IV. UKOL SA PANANIM: </t>
    </r>
    <r>
      <rPr>
        <i/>
        <sz val="13"/>
        <color theme="1"/>
        <rFont val="Times New Roman"/>
        <family val="1"/>
      </rPr>
      <t>(Sa "Uri" ay ilagay kung ang pananim ay (a) Nagbubunga (b) Hindi Nagbubunga)</t>
    </r>
  </si>
  <si>
    <t>Nakaraan</t>
  </si>
  <si>
    <t>Nadagdag</t>
  </si>
  <si>
    <t>Nabawas</t>
  </si>
  <si>
    <t>Kabuuan Ngayon</t>
  </si>
  <si>
    <t>Pangalan ng Pananim</t>
  </si>
  <si>
    <t>Uri</t>
  </si>
  <si>
    <t>Blg</t>
  </si>
  <si>
    <t>KABUUANG HALAGA NG MGA PANANIM SA TAONG ITO ………</t>
  </si>
  <si>
    <t>V. UKOL SA SASAKYAN:</t>
  </si>
  <si>
    <t>A.  MGA SASAKYAN NG DISTRITO AYON SA ULAT NG NAKARAANG TAON:</t>
  </si>
  <si>
    <t>DESCRIPTION</t>
  </si>
  <si>
    <t>VEHICLE 1</t>
  </si>
  <si>
    <t>VEHICLE 2</t>
  </si>
  <si>
    <t>VEHICLE 3</t>
  </si>
  <si>
    <t>VEHICLE 4</t>
  </si>
  <si>
    <t>VEHICLE 5</t>
  </si>
  <si>
    <t>MAKE &amp; TYPE</t>
  </si>
  <si>
    <t>PLATE NUMBER</t>
  </si>
  <si>
    <t>YEAR MODEL</t>
  </si>
  <si>
    <t>DATE PURCHASED</t>
  </si>
  <si>
    <t>ASSIGNED USER (NAME)</t>
  </si>
  <si>
    <t>DESIGNATION</t>
  </si>
  <si>
    <t>KABUUANG HALAGA NG MGA SASAKYAN AYON SA ULAT NG NAKARAANG TAON</t>
  </si>
  <si>
    <t>B.  NADAGDAG SA TAONG ITO:</t>
  </si>
  <si>
    <t>C.  NABAWAS SA TAONG ITO:</t>
  </si>
  <si>
    <t xml:space="preserve">SAAN GALING </t>
  </si>
  <si>
    <t>HALAGA NG NADAGDAG</t>
  </si>
  <si>
    <t>HALAGA NG NABAWAS</t>
  </si>
  <si>
    <t>KABUUANG HALAGA NG MGA SASAKYAN SA TAONG ITO (A+B-C)</t>
  </si>
  <si>
    <t>Page 5</t>
  </si>
  <si>
    <t>R  E  S  U  M  E  N</t>
  </si>
  <si>
    <t>MGA GUSALI:</t>
  </si>
  <si>
    <t>B. PASTORAL &amp; RES. HOUSES</t>
  </si>
  <si>
    <t>C. OPISINA</t>
  </si>
  <si>
    <t>D. IBA PANG MGA GUSALI</t>
  </si>
  <si>
    <t>KABUUANG HALAGA NG MGA GUSALI</t>
  </si>
  <si>
    <t>KABUUANG HALAGA NG MGA KAGAMITAN</t>
  </si>
  <si>
    <t>3.</t>
  </si>
  <si>
    <t>KABUUANG HALAGA NG MGA LUPA</t>
  </si>
  <si>
    <t>4.</t>
  </si>
  <si>
    <t>KABUUANG HALAGA NG MGA PANANIM</t>
  </si>
  <si>
    <t>5.</t>
  </si>
  <si>
    <t>KABUUANG HALAGA NG MGA SASAKYAN</t>
  </si>
  <si>
    <t>KABUUANG HALAGA NG MGA ARI-ARIAN SA TAONG ITO</t>
  </si>
  <si>
    <t>MGA NAGPAPATOTOO</t>
  </si>
  <si>
    <t>Pinatutunayan namin na ang mga  nakatala sa  ulat na ito ay  pawang totoo  at pawang pag-aari ng</t>
  </si>
  <si>
    <t>Iglesia sa aming lokal. Nagsagawa kami ng kaukulang "ocular inspection/actual inventory" at natiyak namin</t>
  </si>
  <si>
    <t>na ang lahat ng mga ari-arian ng Iglesia sa aming lokal ay nakatala dito sa Imbentaryo.</t>
  </si>
  <si>
    <t>Auditor ng Lupon</t>
  </si>
  <si>
    <t>Auditor ng Lokal</t>
  </si>
  <si>
    <t>Katiwala sa P-7</t>
  </si>
  <si>
    <t>Ingat-Yaman ng Lupon</t>
  </si>
  <si>
    <t>Ingat-Yaman ng Lokal</t>
  </si>
  <si>
    <t>Auditor ng Distrito</t>
  </si>
  <si>
    <t>Pangulo ng Lupon</t>
  </si>
  <si>
    <t>PD-Tagasubaybay</t>
  </si>
  <si>
    <t>Ingat-Yaman ng Distrito</t>
  </si>
  <si>
    <t>Obispo/Pangulong Diakono</t>
  </si>
  <si>
    <t>Destinado/Pastor ng Lokal</t>
  </si>
  <si>
    <t>Tagapangasiwa ng Distrito</t>
  </si>
  <si>
    <t>Nota:  Isulat muna ng palimbag (print) ang pangalan bago lagdaan.</t>
  </si>
  <si>
    <t>DCG/ludy_cab@P7.2019</t>
  </si>
  <si>
    <t>Page 6</t>
  </si>
  <si>
    <t>2 0 2 4</t>
  </si>
  <si>
    <t>Balayan</t>
  </si>
  <si>
    <t>Concrete (A-3)</t>
  </si>
  <si>
    <t>a</t>
  </si>
  <si>
    <t>⁄</t>
  </si>
  <si>
    <t>Abril 29, 1989</t>
  </si>
  <si>
    <t>Abril 1989</t>
  </si>
  <si>
    <t>Pastoral House at</t>
  </si>
  <si>
    <t>Bahay ng Bantay Kapilya</t>
  </si>
  <si>
    <t>(A-PH)</t>
  </si>
  <si>
    <t>₱</t>
  </si>
  <si>
    <t>Opisina (Ministerial,</t>
  </si>
  <si>
    <t>Pananalapi, Kalihiman)</t>
  </si>
  <si>
    <t>CON.</t>
  </si>
  <si>
    <t>(ADL-1)</t>
  </si>
  <si>
    <t>Pump House</t>
  </si>
  <si>
    <t>Guard House</t>
  </si>
  <si>
    <t>(APH-1)</t>
  </si>
  <si>
    <t>003</t>
  </si>
  <si>
    <t>Kapilya</t>
  </si>
  <si>
    <t>01-0001-02</t>
  </si>
  <si>
    <t>2</t>
  </si>
  <si>
    <t>Benches</t>
  </si>
  <si>
    <t>Wooden</t>
  </si>
  <si>
    <t>Brown</t>
  </si>
  <si>
    <t>.90x4.00m</t>
  </si>
  <si>
    <t>Koro</t>
  </si>
  <si>
    <t>01-0003-04</t>
  </si>
  <si>
    <t>01-0005</t>
  </si>
  <si>
    <t>01-0006</t>
  </si>
  <si>
    <t>01-0007</t>
  </si>
  <si>
    <t>01-0008</t>
  </si>
  <si>
    <t>01-0009</t>
  </si>
  <si>
    <t>01-0010</t>
  </si>
  <si>
    <t>01-0011</t>
  </si>
  <si>
    <t>01-0012</t>
  </si>
  <si>
    <t>02-0001-05</t>
  </si>
  <si>
    <t>02-0007-08</t>
  </si>
  <si>
    <t>02-0009</t>
  </si>
  <si>
    <t>02-0010</t>
  </si>
  <si>
    <t>02-0011</t>
  </si>
  <si>
    <t>02-0012</t>
  </si>
  <si>
    <t>02-0014</t>
  </si>
  <si>
    <t>02-0015</t>
  </si>
  <si>
    <t>02-0020</t>
  </si>
  <si>
    <t>02-0021</t>
  </si>
  <si>
    <t>02-0022</t>
  </si>
  <si>
    <t>02-0023</t>
  </si>
  <si>
    <t>02-0024</t>
  </si>
  <si>
    <t>02-0025-27</t>
  </si>
  <si>
    <t>02-0028</t>
  </si>
  <si>
    <t>02-0029-37</t>
  </si>
  <si>
    <t>1999</t>
  </si>
  <si>
    <t>1988</t>
  </si>
  <si>
    <t>Nov. 2004</t>
  </si>
  <si>
    <t>Dec. 2004</t>
  </si>
  <si>
    <t>1</t>
  </si>
  <si>
    <t>5</t>
  </si>
  <si>
    <t>3</t>
  </si>
  <si>
    <t>Numero ng Awit with Stand</t>
  </si>
  <si>
    <t>Organ</t>
  </si>
  <si>
    <t>Stool (Organ)</t>
  </si>
  <si>
    <t>Digital Hymn Number Control</t>
  </si>
  <si>
    <t>Wall Fan</t>
  </si>
  <si>
    <t>Organ Chair</t>
  </si>
  <si>
    <t>Tribunal Chair</t>
  </si>
  <si>
    <t>Microphone with Gooseneck</t>
  </si>
  <si>
    <t>Bible (MB)</t>
  </si>
  <si>
    <t xml:space="preserve">Aklat ng Referencia </t>
  </si>
  <si>
    <t>Bibliya ng Sambayanang Pilipino</t>
  </si>
  <si>
    <t>Bibliya-Dating Salin (Tagalog)</t>
  </si>
  <si>
    <t>Bibliya (NPV)</t>
  </si>
  <si>
    <t>Carpet</t>
  </si>
  <si>
    <t>Rota-aire</t>
  </si>
  <si>
    <t xml:space="preserve">Bibliya </t>
  </si>
  <si>
    <t>Vacuum Cleaner</t>
  </si>
  <si>
    <t>Gooseneck Microphones</t>
  </si>
  <si>
    <t>Microphone Stand (Folding Type with Boom)</t>
  </si>
  <si>
    <t>Yamaha</t>
  </si>
  <si>
    <t>(Kasama sa halaga ng Organ)</t>
  </si>
  <si>
    <t>KDK</t>
  </si>
  <si>
    <t>Turbo</t>
  </si>
  <si>
    <t>SHBOD</t>
  </si>
  <si>
    <t>EL-15 F</t>
  </si>
  <si>
    <t>W4OY-BW</t>
  </si>
  <si>
    <t>EL-500</t>
  </si>
  <si>
    <t>BF4OAK</t>
  </si>
  <si>
    <t>VacZB300-258</t>
  </si>
  <si>
    <t>AK-370</t>
  </si>
  <si>
    <t>Glass</t>
  </si>
  <si>
    <t>Plastic</t>
  </si>
  <si>
    <t>Wooden / Foam</t>
  </si>
  <si>
    <t>Metal</t>
  </si>
  <si>
    <t>Wool</t>
  </si>
  <si>
    <t>Cloth</t>
  </si>
  <si>
    <t>Black</t>
  </si>
  <si>
    <t>Blue</t>
  </si>
  <si>
    <t>Beige</t>
  </si>
  <si>
    <t>Maroon</t>
  </si>
  <si>
    <t>Green</t>
  </si>
  <si>
    <t>Blue-Gray</t>
  </si>
  <si>
    <t>Gray</t>
  </si>
  <si>
    <t>Std.</t>
  </si>
  <si>
    <t>(Hiningi sa lokal ng Batangas City)</t>
  </si>
  <si>
    <t>Big</t>
  </si>
  <si>
    <t>Assorted</t>
  </si>
  <si>
    <t>FA2164642</t>
  </si>
  <si>
    <t>FA2395853</t>
  </si>
  <si>
    <t>Luma na po.</t>
  </si>
  <si>
    <t>Maayos po.</t>
  </si>
  <si>
    <t>KAPILYA:</t>
  </si>
  <si>
    <t>Tribuna</t>
  </si>
  <si>
    <t>Mainhall</t>
  </si>
  <si>
    <t>02-0038</t>
  </si>
  <si>
    <t>02-0039</t>
  </si>
  <si>
    <t>02-0040</t>
  </si>
  <si>
    <t>02-0041</t>
  </si>
  <si>
    <t>02-0042</t>
  </si>
  <si>
    <t>02-0043</t>
  </si>
  <si>
    <t>03-0001-0028</t>
  </si>
  <si>
    <t>03-0033-0037</t>
  </si>
  <si>
    <t>03-0038</t>
  </si>
  <si>
    <t>03-0039-0065</t>
  </si>
  <si>
    <t>03-0095</t>
  </si>
  <si>
    <t>03-0096</t>
  </si>
  <si>
    <t>03-0100-0119</t>
  </si>
  <si>
    <t>03-0266</t>
  </si>
  <si>
    <t>03-0267</t>
  </si>
  <si>
    <t>03-0268-0269</t>
  </si>
  <si>
    <t>03-0270-0271</t>
  </si>
  <si>
    <t>03-0272</t>
  </si>
  <si>
    <t>03-0392</t>
  </si>
  <si>
    <t>03-0393</t>
  </si>
  <si>
    <t>03-0394</t>
  </si>
  <si>
    <t>03-0395-0434</t>
  </si>
  <si>
    <t>03-0435-0584</t>
  </si>
  <si>
    <t>03-0585-0647</t>
  </si>
  <si>
    <t>03-0648-0650</t>
  </si>
  <si>
    <t>03-0651-0660</t>
  </si>
  <si>
    <t>28</t>
  </si>
  <si>
    <t>27</t>
  </si>
  <si>
    <t>40</t>
  </si>
  <si>
    <t>150</t>
  </si>
  <si>
    <t>62</t>
  </si>
  <si>
    <t>10</t>
  </si>
  <si>
    <t>Bible SNB</t>
  </si>
  <si>
    <t>Bible SND</t>
  </si>
  <si>
    <t>Biblia- New Filifino Version</t>
  </si>
  <si>
    <t>Laptop</t>
  </si>
  <si>
    <t>Smart TV</t>
  </si>
  <si>
    <t>Offering Chest Table w/ 2 TH Boxes</t>
  </si>
  <si>
    <t>Supot ng Abuloy</t>
  </si>
  <si>
    <t>Rest Rum</t>
  </si>
  <si>
    <t>Wall Clock</t>
  </si>
  <si>
    <t>Kahon ng Abuloy (PNK)</t>
  </si>
  <si>
    <t>Emergency Light</t>
  </si>
  <si>
    <t>Himnario</t>
  </si>
  <si>
    <t>Stools</t>
  </si>
  <si>
    <t>Chandeliers</t>
  </si>
  <si>
    <t>Ceiling Fan 56"</t>
  </si>
  <si>
    <t>Acer</t>
  </si>
  <si>
    <t>TCL</t>
  </si>
  <si>
    <t>3D</t>
  </si>
  <si>
    <t>Seiko Quartz</t>
  </si>
  <si>
    <t>OMNI</t>
  </si>
  <si>
    <t>Uratex</t>
  </si>
  <si>
    <t>0.7 x 1.05</t>
  </si>
  <si>
    <t>Vero AV15</t>
  </si>
  <si>
    <t>AEL-1009</t>
  </si>
  <si>
    <t>A.G.A.3</t>
  </si>
  <si>
    <t>A56XG</t>
  </si>
  <si>
    <t>Cloth Cover of Tribunal Chairs (9 pcs per set)</t>
  </si>
  <si>
    <t>- 1</t>
  </si>
  <si>
    <t>- 2</t>
  </si>
  <si>
    <t>Platic</t>
  </si>
  <si>
    <t>Layer, 18</t>
  </si>
  <si>
    <t>Gray (repainted)</t>
  </si>
  <si>
    <t>White</t>
  </si>
  <si>
    <t>Yellow Gold</t>
  </si>
  <si>
    <t>Gold</t>
  </si>
  <si>
    <t>65"</t>
  </si>
  <si>
    <t>55"</t>
  </si>
  <si>
    <t>.90x3.00m</t>
  </si>
  <si>
    <t>.90x4.00m.</t>
  </si>
  <si>
    <t>.90x2.00m.</t>
  </si>
  <si>
    <t>38.43sq.m.</t>
  </si>
  <si>
    <t>small</t>
  </si>
  <si>
    <t>NXAYCSP00 320215C8034</t>
  </si>
  <si>
    <t>2204ALY177 603000059</t>
  </si>
  <si>
    <t>22003ALY176 872L00213</t>
  </si>
  <si>
    <t>003-001-005</t>
  </si>
  <si>
    <t>960006-148196</t>
  </si>
  <si>
    <t>960006-136026</t>
  </si>
  <si>
    <t>960006-123497</t>
  </si>
  <si>
    <t>Speaker System w/ Plastic Grills (Set)</t>
  </si>
  <si>
    <t xml:space="preserve">20 </t>
  </si>
  <si>
    <t>II-B-2023</t>
  </si>
  <si>
    <t>Sira na po.</t>
  </si>
  <si>
    <t>-  3</t>
  </si>
  <si>
    <t>-  4</t>
  </si>
  <si>
    <t>-  5</t>
  </si>
  <si>
    <t>-  6</t>
  </si>
  <si>
    <t>-  7</t>
  </si>
  <si>
    <t>-  8</t>
  </si>
  <si>
    <t>-  9</t>
  </si>
  <si>
    <t>-  10</t>
  </si>
  <si>
    <t>Lobby</t>
  </si>
  <si>
    <t>For Mang-aawit</t>
  </si>
  <si>
    <t>Kapilya - Dressing Room</t>
  </si>
  <si>
    <t>Mang-aawit (M)</t>
  </si>
  <si>
    <t>Mang-aawit (F)</t>
  </si>
  <si>
    <t>Diakono</t>
  </si>
  <si>
    <t>Diakonesa</t>
  </si>
  <si>
    <t>Kapilya : Restrooms</t>
  </si>
  <si>
    <t>03-0661</t>
  </si>
  <si>
    <t>03-0662</t>
  </si>
  <si>
    <t>03-0063-0064</t>
  </si>
  <si>
    <t>03-0065</t>
  </si>
  <si>
    <t>03-0066</t>
  </si>
  <si>
    <t>03-0067</t>
  </si>
  <si>
    <t>03-0068</t>
  </si>
  <si>
    <t>06-0001</t>
  </si>
  <si>
    <t>06-0002</t>
  </si>
  <si>
    <t>06-0003</t>
  </si>
  <si>
    <t>06-0004</t>
  </si>
  <si>
    <t>06-0005</t>
  </si>
  <si>
    <t>06-0006</t>
  </si>
  <si>
    <t>06-0007</t>
  </si>
  <si>
    <t>06-0008</t>
  </si>
  <si>
    <t>06-0009-0010</t>
  </si>
  <si>
    <t>13-0002</t>
  </si>
  <si>
    <t>14-0001</t>
  </si>
  <si>
    <t>15-0001</t>
  </si>
  <si>
    <t>16-0001</t>
  </si>
  <si>
    <t>21-0001</t>
  </si>
  <si>
    <t>22-0001</t>
  </si>
  <si>
    <t>23-0005</t>
  </si>
  <si>
    <t>Lecturn, PNK MFC</t>
  </si>
  <si>
    <t>Offering Boxes with duple bag (WebEx)</t>
  </si>
  <si>
    <t>Portable Bluetooth Speaker</t>
  </si>
  <si>
    <t>Web Camera</t>
  </si>
  <si>
    <t>Tripod</t>
  </si>
  <si>
    <t>Mouse</t>
  </si>
  <si>
    <t>Counter Table</t>
  </si>
  <si>
    <t>Fire Extiguisher</t>
  </si>
  <si>
    <t>Organ (Reserba)</t>
  </si>
  <si>
    <t>Stool for Organ</t>
  </si>
  <si>
    <t>Bulletin Board</t>
  </si>
  <si>
    <t>Stand fan</t>
  </si>
  <si>
    <t>Stand Fan</t>
  </si>
  <si>
    <t xml:space="preserve">Fire Extiguisher </t>
  </si>
  <si>
    <t>Face Mirror</t>
  </si>
  <si>
    <t>Caldero #6</t>
  </si>
  <si>
    <t>OSPREY</t>
  </si>
  <si>
    <t>YAMAHA</t>
  </si>
  <si>
    <t>DRY CHEM</t>
  </si>
  <si>
    <t>ME-100F</t>
  </si>
  <si>
    <t>(Kasama po sa halaga ng Organ)</t>
  </si>
  <si>
    <t>L40A-MR</t>
  </si>
  <si>
    <t>L40A-TQ</t>
  </si>
  <si>
    <t>Cherry</t>
  </si>
  <si>
    <t>(17.5 Kg/unit)</t>
  </si>
  <si>
    <t>Aluminum/Glass</t>
  </si>
  <si>
    <t>Red</t>
  </si>
  <si>
    <t>Pink</t>
  </si>
  <si>
    <t>1.4x90x50cm.</t>
  </si>
  <si>
    <t>10 lbs.</t>
  </si>
  <si>
    <t>(30x36)</t>
  </si>
  <si>
    <t>(24x30)</t>
  </si>
  <si>
    <t>Bodega</t>
  </si>
  <si>
    <t>Gamit</t>
  </si>
  <si>
    <t>Kasal</t>
  </si>
  <si>
    <t>Gamit: Bautismo</t>
  </si>
  <si>
    <t>Bakuran</t>
  </si>
  <si>
    <t>23-0033-0058</t>
  </si>
  <si>
    <t>23-0059</t>
  </si>
  <si>
    <t>23-0514-0543</t>
  </si>
  <si>
    <t>23-0062</t>
  </si>
  <si>
    <t>23-0063-0064</t>
  </si>
  <si>
    <t>23-0065-0074</t>
  </si>
  <si>
    <t>23-0075-0080</t>
  </si>
  <si>
    <t>23-0081-0087</t>
  </si>
  <si>
    <t>23-0088</t>
  </si>
  <si>
    <t>23-0089-0133</t>
  </si>
  <si>
    <t>23-0134-0148</t>
  </si>
  <si>
    <t>23-0149-0158</t>
  </si>
  <si>
    <t>23-0159-0168</t>
  </si>
  <si>
    <t>23-0169-0173</t>
  </si>
  <si>
    <t>23-0174-0323</t>
  </si>
  <si>
    <t>23-0324-0469</t>
  </si>
  <si>
    <t>23-0470</t>
  </si>
  <si>
    <t>23-0471</t>
  </si>
  <si>
    <t>23-0472</t>
  </si>
  <si>
    <t>23-0473-0507</t>
  </si>
  <si>
    <t>23-0508-0513</t>
  </si>
  <si>
    <t>24-0001</t>
  </si>
  <si>
    <t>24-0002</t>
  </si>
  <si>
    <t>24-0003</t>
  </si>
  <si>
    <t>24-0004</t>
  </si>
  <si>
    <t>24-0005-0007</t>
  </si>
  <si>
    <t>1998</t>
  </si>
  <si>
    <t>1989</t>
  </si>
  <si>
    <t>26</t>
  </si>
  <si>
    <t>30</t>
  </si>
  <si>
    <t>6</t>
  </si>
  <si>
    <t>7</t>
  </si>
  <si>
    <t>45</t>
  </si>
  <si>
    <t>15</t>
  </si>
  <si>
    <t>146</t>
  </si>
  <si>
    <t>35</t>
  </si>
  <si>
    <t>Monoblock Chairs</t>
  </si>
  <si>
    <t>Office Table w/ 4 drawers</t>
  </si>
  <si>
    <t>Luhuran sa Kasal</t>
  </si>
  <si>
    <t>Chairs</t>
  </si>
  <si>
    <t>Flower Stand</t>
  </si>
  <si>
    <t>Toga</t>
  </si>
  <si>
    <t>Lawn Mower</t>
  </si>
  <si>
    <t>Toga-Bautismo</t>
  </si>
  <si>
    <t>Generator</t>
  </si>
  <si>
    <t>Power Sprayer</t>
  </si>
  <si>
    <t>Monoblock Chairs (Round)</t>
  </si>
  <si>
    <t>Enclosure box with magnetic starter</t>
  </si>
  <si>
    <t>Transformer with accessories</t>
  </si>
  <si>
    <t>Jetmatic Water Pump</t>
  </si>
  <si>
    <t>Kontador para sa Kapilya</t>
  </si>
  <si>
    <t>Kontador para sa Kapilya res., Caretaker at Locale office</t>
  </si>
  <si>
    <t>Steel</t>
  </si>
  <si>
    <t>Zinc/Glass</t>
  </si>
  <si>
    <t>Small</t>
  </si>
  <si>
    <t xml:space="preserve">Medium </t>
  </si>
  <si>
    <t>Large</t>
  </si>
  <si>
    <t>XL</t>
  </si>
  <si>
    <t>1 HP</t>
  </si>
  <si>
    <t>Kasama po sa halaga ng luhuran sa kasal</t>
  </si>
  <si>
    <t>24-0008</t>
  </si>
  <si>
    <t>24-0010</t>
  </si>
  <si>
    <t>24-0011</t>
  </si>
  <si>
    <t>24-0012</t>
  </si>
  <si>
    <t>24-0013</t>
  </si>
  <si>
    <t>24-0014</t>
  </si>
  <si>
    <t>24-0015</t>
  </si>
  <si>
    <t>24-0016</t>
  </si>
  <si>
    <t>24-0017</t>
  </si>
  <si>
    <t>24-0018</t>
  </si>
  <si>
    <t>38-0002</t>
  </si>
  <si>
    <t>25-0001</t>
  </si>
  <si>
    <t>25-0002</t>
  </si>
  <si>
    <t>25-0003-0004</t>
  </si>
  <si>
    <t>25-0005</t>
  </si>
  <si>
    <t>25-0006</t>
  </si>
  <si>
    <t>25-0007</t>
  </si>
  <si>
    <t>25-0008-0010</t>
  </si>
  <si>
    <t>25-0011</t>
  </si>
  <si>
    <t>25-0012</t>
  </si>
  <si>
    <t>25-0013-0015</t>
  </si>
  <si>
    <t>27-0001</t>
  </si>
  <si>
    <t>27-0002-0004</t>
  </si>
  <si>
    <t>27-0005</t>
  </si>
  <si>
    <t>27-0006-0008</t>
  </si>
  <si>
    <t>27-0010</t>
  </si>
  <si>
    <t>Office</t>
  </si>
  <si>
    <t>Destinado</t>
  </si>
  <si>
    <t>Office : Finance</t>
  </si>
  <si>
    <t>1991</t>
  </si>
  <si>
    <t>Stepdown Transformer</t>
  </si>
  <si>
    <t>Plastic Drum</t>
  </si>
  <si>
    <t>Grass Cutter</t>
  </si>
  <si>
    <t xml:space="preserve">Scaffolding </t>
  </si>
  <si>
    <t>Umbrella Holder</t>
  </si>
  <si>
    <t>Schedule of Worship Service Directory Signage</t>
  </si>
  <si>
    <t>Motor Pump</t>
  </si>
  <si>
    <t>Face Mirror (CR)</t>
  </si>
  <si>
    <t>Long Sofa, 3 Seater</t>
  </si>
  <si>
    <t>Sofa, Single Seater</t>
  </si>
  <si>
    <t>Corner Tray</t>
  </si>
  <si>
    <t>Aircon</t>
  </si>
  <si>
    <t>Venetian Blinds</t>
  </si>
  <si>
    <t>Table</t>
  </si>
  <si>
    <t>Leatherette Sala Set</t>
  </si>
  <si>
    <t>Typewritter</t>
  </si>
  <si>
    <t>Office Table with Drawers</t>
  </si>
  <si>
    <t>Calculator</t>
  </si>
  <si>
    <t>Top Glass (Table)</t>
  </si>
  <si>
    <t>Steel Cabinet with Vault (4 drawers)</t>
  </si>
  <si>
    <t>Kawasaki</t>
  </si>
  <si>
    <t>Promax</t>
  </si>
  <si>
    <t>Goulds</t>
  </si>
  <si>
    <t>GE</t>
  </si>
  <si>
    <t>Olympia</t>
  </si>
  <si>
    <t>Casio</t>
  </si>
  <si>
    <t>C48A95AO6</t>
  </si>
  <si>
    <t>L4OA-MR</t>
  </si>
  <si>
    <t>AEVO9KB</t>
  </si>
  <si>
    <t>Stainless</t>
  </si>
  <si>
    <t>Glass/Stainless</t>
  </si>
  <si>
    <t>Alluminum/Glass</t>
  </si>
  <si>
    <t xml:space="preserve">Glass </t>
  </si>
  <si>
    <t>Wood/Foam</t>
  </si>
  <si>
    <t>Plastic/Metal</t>
  </si>
  <si>
    <t>Avocado Green</t>
  </si>
  <si>
    <t xml:space="preserve">Brown </t>
  </si>
  <si>
    <t>Red/Black</t>
  </si>
  <si>
    <t>Black/White</t>
  </si>
  <si>
    <t>Clear</t>
  </si>
  <si>
    <t>Dark Gray</t>
  </si>
  <si>
    <t>3000W.</t>
  </si>
  <si>
    <t>23x32 3/6</t>
  </si>
  <si>
    <t>RN000382</t>
  </si>
  <si>
    <t>#7-26-222713</t>
  </si>
  <si>
    <t xml:space="preserve">        </t>
  </si>
  <si>
    <t>Opisina: Pananalapi</t>
  </si>
  <si>
    <t>Mga Gamit sa Sta.Cena</t>
  </si>
  <si>
    <t>27-0011</t>
  </si>
  <si>
    <t>27-0012</t>
  </si>
  <si>
    <t>27-0113</t>
  </si>
  <si>
    <t>27-0013</t>
  </si>
  <si>
    <t>27-0014</t>
  </si>
  <si>
    <t>27-0015-0016</t>
  </si>
  <si>
    <t>27-0017</t>
  </si>
  <si>
    <t>27-0018-0023</t>
  </si>
  <si>
    <t>27-0024</t>
  </si>
  <si>
    <t>27-0029</t>
  </si>
  <si>
    <t>27-0030</t>
  </si>
  <si>
    <t>27-0031-0032</t>
  </si>
  <si>
    <t>27-0033</t>
  </si>
  <si>
    <t>27-0034-0037</t>
  </si>
  <si>
    <t>27-0038-0045</t>
  </si>
  <si>
    <t>27-0046</t>
  </si>
  <si>
    <t>27-0047-0048</t>
  </si>
  <si>
    <t>27-0049-0050</t>
  </si>
  <si>
    <t>27-0051</t>
  </si>
  <si>
    <t>27-0052</t>
  </si>
  <si>
    <t>27-0053</t>
  </si>
  <si>
    <t>27-0054</t>
  </si>
  <si>
    <t>27-0055</t>
  </si>
  <si>
    <t>27-0056-0075</t>
  </si>
  <si>
    <t>27-0076-0077</t>
  </si>
  <si>
    <t>27-0078-0092</t>
  </si>
  <si>
    <t>27-0093</t>
  </si>
  <si>
    <t>1995</t>
  </si>
  <si>
    <t>250</t>
  </si>
  <si>
    <t>4</t>
  </si>
  <si>
    <t>8</t>
  </si>
  <si>
    <t>20</t>
  </si>
  <si>
    <t>Top Glass (table) Fire Extinguisher</t>
  </si>
  <si>
    <t>Cabinet (lagayan ng mga Gamit sa Sta.Cena)</t>
  </si>
  <si>
    <t>Pitsel</t>
  </si>
  <si>
    <t>Kopita</t>
  </si>
  <si>
    <t>Plate</t>
  </si>
  <si>
    <t>Basin</t>
  </si>
  <si>
    <t>Tray</t>
  </si>
  <si>
    <t>Spoon</t>
  </si>
  <si>
    <t>Table Cloth</t>
  </si>
  <si>
    <t>Stand ng Saro</t>
  </si>
  <si>
    <t>Square Plates</t>
  </si>
  <si>
    <t>Plates</t>
  </si>
  <si>
    <t>Saro</t>
  </si>
  <si>
    <t>Bandehado (Durugan ng Tinapay)</t>
  </si>
  <si>
    <t>Fork</t>
  </si>
  <si>
    <t>Bandehado(Oblong)</t>
  </si>
  <si>
    <t>Plates (Round)</t>
  </si>
  <si>
    <t>Hugasan ng kamay</t>
  </si>
  <si>
    <t xml:space="preserve"> Saro</t>
  </si>
  <si>
    <t xml:space="preserve">Table  </t>
  </si>
  <si>
    <t>Tray Racks</t>
  </si>
  <si>
    <t>Saro (700 s. Capacity)</t>
  </si>
  <si>
    <t>Osprey</t>
  </si>
  <si>
    <t>Old</t>
  </si>
  <si>
    <t>Crystal</t>
  </si>
  <si>
    <t>Porcelain</t>
  </si>
  <si>
    <t>300 s. cap</t>
  </si>
  <si>
    <t>2x8 ft.</t>
  </si>
  <si>
    <t>7 1/3 x 10 1/2</t>
  </si>
  <si>
    <t>Medium</t>
  </si>
  <si>
    <t>Sira na po</t>
  </si>
  <si>
    <t>27-0094</t>
  </si>
  <si>
    <t>27-0095</t>
  </si>
  <si>
    <t>27-0096</t>
  </si>
  <si>
    <t>27-0097</t>
  </si>
  <si>
    <t>27-0098</t>
  </si>
  <si>
    <t>27-0099</t>
  </si>
  <si>
    <t>27-0100-0102</t>
  </si>
  <si>
    <t>27-0103</t>
  </si>
  <si>
    <t>27-0104</t>
  </si>
  <si>
    <t>27-0105</t>
  </si>
  <si>
    <t>27-0106</t>
  </si>
  <si>
    <t>27-0107</t>
  </si>
  <si>
    <t>27-0108</t>
  </si>
  <si>
    <t>27-0109</t>
  </si>
  <si>
    <t>27-0110</t>
  </si>
  <si>
    <t>27-0111</t>
  </si>
  <si>
    <t>27-0112</t>
  </si>
  <si>
    <t>28-0001</t>
  </si>
  <si>
    <t>28-0003</t>
  </si>
  <si>
    <t>28-0004</t>
  </si>
  <si>
    <t>28-0005</t>
  </si>
  <si>
    <t>28-0006</t>
  </si>
  <si>
    <t>28-0007</t>
  </si>
  <si>
    <t>28-0008</t>
  </si>
  <si>
    <t>28-0009-0010</t>
  </si>
  <si>
    <t>Babasahin para sa PNK</t>
  </si>
  <si>
    <t>Coffee Table Book- FYM</t>
  </si>
  <si>
    <t>Coffee Table Book-EGM</t>
  </si>
  <si>
    <t xml:space="preserve">Fire Extinguisher </t>
  </si>
  <si>
    <t>DRYCHEM</t>
  </si>
  <si>
    <t>INC Music Album Checklist</t>
  </si>
  <si>
    <t>Cabinet</t>
  </si>
  <si>
    <t>Air Cooler</t>
  </si>
  <si>
    <t>Stapler</t>
  </si>
  <si>
    <t>Modified Vault (3 Drawers)</t>
  </si>
  <si>
    <t>Office Table w/ 1 Drawer</t>
  </si>
  <si>
    <t>Puncher</t>
  </si>
  <si>
    <t>Filling Cabinet</t>
  </si>
  <si>
    <t>Drawer</t>
  </si>
  <si>
    <t>Orwell</t>
  </si>
  <si>
    <t>Karson</t>
  </si>
  <si>
    <t>EZ</t>
  </si>
  <si>
    <t>MAX</t>
  </si>
  <si>
    <t>HAFELE</t>
  </si>
  <si>
    <t>Black &amp; White</t>
  </si>
  <si>
    <t>2x3 ft.</t>
  </si>
  <si>
    <t>4 Drawer</t>
  </si>
  <si>
    <t>#35</t>
  </si>
  <si>
    <t>2x3 1/4 ft.</t>
  </si>
  <si>
    <t>10 LBS</t>
  </si>
  <si>
    <t>30x90x60 cm</t>
  </si>
  <si>
    <t>24x80x60 cm</t>
  </si>
  <si>
    <t>18x60x50 cm</t>
  </si>
  <si>
    <t>28-0011-0014</t>
  </si>
  <si>
    <t>28-0015</t>
  </si>
  <si>
    <t>28-0016-0017</t>
  </si>
  <si>
    <t>28-0018</t>
  </si>
  <si>
    <t>28-0019</t>
  </si>
  <si>
    <t>28-0020</t>
  </si>
  <si>
    <t>28-0021</t>
  </si>
  <si>
    <t>28-0022-0028</t>
  </si>
  <si>
    <t>28-0029-0030</t>
  </si>
  <si>
    <t>28-0031</t>
  </si>
  <si>
    <t>28-0032</t>
  </si>
  <si>
    <t>42-0001</t>
  </si>
  <si>
    <t>42-0002</t>
  </si>
  <si>
    <t>42-0005</t>
  </si>
  <si>
    <t>42-0007</t>
  </si>
  <si>
    <t>42-0011</t>
  </si>
  <si>
    <t>42-0012-0016</t>
  </si>
  <si>
    <t>42-0023</t>
  </si>
  <si>
    <t>42-0025</t>
  </si>
  <si>
    <t>42-0026</t>
  </si>
  <si>
    <t>42-0028</t>
  </si>
  <si>
    <t>42-0029</t>
  </si>
  <si>
    <t>42-0032</t>
  </si>
  <si>
    <t>42-0034</t>
  </si>
  <si>
    <t>Pastoral House:</t>
  </si>
  <si>
    <t>Salamin Top Glass</t>
  </si>
  <si>
    <t>Kahon para sa R1-02 &amp; R1-03</t>
  </si>
  <si>
    <t>White Board</t>
  </si>
  <si>
    <t>Window Curtains</t>
  </si>
  <si>
    <t>Desktop Computer</t>
  </si>
  <si>
    <t>Cannon Printer MP258</t>
  </si>
  <si>
    <t xml:space="preserve"> Printer</t>
  </si>
  <si>
    <t>Telepono</t>
  </si>
  <si>
    <t>Dining Table w/o Top Glass</t>
  </si>
  <si>
    <t>Center table</t>
  </si>
  <si>
    <t>Pillows</t>
  </si>
  <si>
    <t>Refrigerator</t>
  </si>
  <si>
    <t>Foam</t>
  </si>
  <si>
    <t>Sala set Leatherette</t>
  </si>
  <si>
    <t>Fire Extinguisher</t>
  </si>
  <si>
    <t>Sharp</t>
  </si>
  <si>
    <t xml:space="preserve">DRY CHEM </t>
  </si>
  <si>
    <t>Panasonic</t>
  </si>
  <si>
    <t>Digitel</t>
  </si>
  <si>
    <t>Viewsonic</t>
  </si>
  <si>
    <t>(kasama po sa halaga ng Desktop computer)</t>
  </si>
  <si>
    <t>Max</t>
  </si>
  <si>
    <t>Grize</t>
  </si>
  <si>
    <t>L4OA-TQ</t>
  </si>
  <si>
    <t>Wood &amp; Foam</t>
  </si>
  <si>
    <t>Plastic &amp; metal</t>
  </si>
  <si>
    <t>Aluminium Frame</t>
  </si>
  <si>
    <t>Yellow &amp; Gold</t>
  </si>
  <si>
    <t>White &amp; Blue Floral</t>
  </si>
  <si>
    <t xml:space="preserve">Black   </t>
  </si>
  <si>
    <t>Orange</t>
  </si>
  <si>
    <t>6x60x76</t>
  </si>
  <si>
    <t>6 cu. Ft.</t>
  </si>
  <si>
    <t>2x5 ft.</t>
  </si>
  <si>
    <t>Filling Cabinet w/ 4 Drawers</t>
  </si>
  <si>
    <t>23 3/6x4 3/6</t>
  </si>
  <si>
    <t>Caretaker's House</t>
  </si>
  <si>
    <t>(B.Bantay- Kapilya)</t>
  </si>
  <si>
    <t>44-0006</t>
  </si>
  <si>
    <t>44-0002</t>
  </si>
  <si>
    <t>42-0047</t>
  </si>
  <si>
    <t>42-0046</t>
  </si>
  <si>
    <t>42-0045</t>
  </si>
  <si>
    <t>42-0042-0044</t>
  </si>
  <si>
    <t>42-0035-0041</t>
  </si>
  <si>
    <t>44-0007-0009</t>
  </si>
  <si>
    <t>44-0010</t>
  </si>
  <si>
    <t>44-0011-0012</t>
  </si>
  <si>
    <t>44-0013</t>
  </si>
  <si>
    <t>Double Deck Bed</t>
  </si>
  <si>
    <t>Dining Table w/ 6 pcs. Chairs</t>
  </si>
  <si>
    <t>Sala set ( 1 long sofa- 3 Seaters &amp; 3 pcs. Sofa- 1 seater</t>
  </si>
  <si>
    <t>Mirror Oval</t>
  </si>
  <si>
    <t>HDMI Cable</t>
  </si>
  <si>
    <t>Center Table</t>
  </si>
  <si>
    <t>Dowell</t>
  </si>
  <si>
    <t>Drychem</t>
  </si>
  <si>
    <t>Standard</t>
  </si>
  <si>
    <t>Steel &amp; Glass</t>
  </si>
  <si>
    <t>10 mtrs.</t>
  </si>
  <si>
    <t>RESUMEN</t>
  </si>
  <si>
    <t>Pahina 2</t>
  </si>
  <si>
    <t>Pahina 3</t>
  </si>
  <si>
    <t>Pahina 4</t>
  </si>
  <si>
    <t>Pahina 5</t>
  </si>
  <si>
    <t>Pahina 6</t>
  </si>
  <si>
    <t>Pahina 7</t>
  </si>
  <si>
    <t>Pahina 8</t>
  </si>
  <si>
    <t>Pahina 9</t>
  </si>
  <si>
    <t>Kalihiman</t>
  </si>
  <si>
    <t>27-0114</t>
  </si>
  <si>
    <t>Printer /unit</t>
  </si>
  <si>
    <t>Brother</t>
  </si>
  <si>
    <t>DCP-T720DW</t>
  </si>
  <si>
    <t>Metal &amp; Plastic</t>
  </si>
  <si>
    <t>E80726K2H29306</t>
  </si>
  <si>
    <t>CPHM57624</t>
  </si>
  <si>
    <t>Black&amp;yellow</t>
  </si>
  <si>
    <t>Metal&amp;Plastic</t>
  </si>
  <si>
    <t>EON-10A</t>
  </si>
  <si>
    <t>E-Studio2523A</t>
  </si>
  <si>
    <t>Kevler</t>
  </si>
  <si>
    <t>Toshiba</t>
  </si>
  <si>
    <t>Speaker (portable) /set</t>
  </si>
  <si>
    <t>Toshiba Photocopier / unit</t>
  </si>
  <si>
    <t>01-0013</t>
  </si>
  <si>
    <t>27-0115</t>
  </si>
  <si>
    <t xml:space="preserve">Kalihiman </t>
  </si>
  <si>
    <t>10"</t>
  </si>
  <si>
    <t xml:space="preserve"> Wala po.</t>
  </si>
  <si>
    <t>Wala po.</t>
  </si>
  <si>
    <t>Calzada,Balayan, Batangas</t>
  </si>
  <si>
    <t>Edelberta U. Villadolid</t>
  </si>
  <si>
    <t>Daisy A. Sismundo</t>
  </si>
  <si>
    <t>Celestino L. Barrion</t>
  </si>
  <si>
    <t>Radison a. Chavez</t>
  </si>
  <si>
    <t>Carlos G. Evangelista, III</t>
  </si>
  <si>
    <t>Pedro F. Castillo</t>
  </si>
  <si>
    <t>Carmi C. Pesigan</t>
  </si>
  <si>
    <t>Elsie A. Guico</t>
  </si>
  <si>
    <t>Evangeline A. Apolinar</t>
  </si>
  <si>
    <t>Genaro B. Layug</t>
  </si>
  <si>
    <t>Romeo M. Villaflor Jr.</t>
  </si>
  <si>
    <t>Dionisio B. Salazar</t>
  </si>
  <si>
    <t>Mangga(Indian)</t>
  </si>
  <si>
    <t>wala po</t>
  </si>
  <si>
    <t>Mangga( Piko)</t>
  </si>
  <si>
    <t>wala po.</t>
  </si>
  <si>
    <t>003006</t>
  </si>
  <si>
    <t>Jan 2024</t>
  </si>
  <si>
    <t xml:space="preserve">Pahina 1 </t>
  </si>
  <si>
    <t>Kapilya,Pastoral House, Bahay-Bantay Kapilya,Opisina, Pump House, Guard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</si>
</sst>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;[Red]#,##0.00"/>
    <numFmt numFmtId="165" formatCode="[$-409]mmmm\ d\,\ yyyy;@"/>
  </numFmts>
  <fonts count="6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i/>
      <sz val="17"/>
      <color theme="1"/>
      <name val="Times New Roman"/>
      <family val="1"/>
    </font>
    <font>
      <i/>
      <u/>
      <sz val="11"/>
      <color rgb="FF00B0F0"/>
      <name val="Calibri"/>
      <family val="2"/>
      <scheme val="minor"/>
    </font>
    <font>
      <i/>
      <sz val="14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Arial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1"/>
      <color theme="1"/>
      <name val="Arial"/>
      <family val="2"/>
    </font>
    <font>
      <b/>
      <sz val="38"/>
      <color theme="1"/>
      <name val="Arial Rounded MT Bold"/>
      <family val="2"/>
    </font>
    <font>
      <i/>
      <sz val="16"/>
      <color theme="1"/>
      <name val="Times New Roman"/>
      <family val="1"/>
    </font>
    <font>
      <b/>
      <sz val="12"/>
      <color theme="1"/>
      <name val="Arial Narrow"/>
      <family val="2"/>
    </font>
    <font>
      <sz val="15"/>
      <color theme="1"/>
      <name val="Times New Roman"/>
      <family val="1"/>
    </font>
    <font>
      <b/>
      <sz val="25"/>
      <color theme="1"/>
      <name val="Arial Rounded MT Bold"/>
      <family val="2"/>
    </font>
    <font>
      <b/>
      <sz val="20"/>
      <color theme="1"/>
      <name val="Arial Rounded MT Bold"/>
      <family val="2"/>
    </font>
    <font>
      <b/>
      <sz val="18"/>
      <color theme="1"/>
      <name val="Times New Roman"/>
      <family val="1"/>
    </font>
    <font>
      <b/>
      <sz val="16"/>
      <name val="Baskerville Old Face"/>
      <family val="1"/>
    </font>
    <font>
      <sz val="11"/>
      <color rgb="FFFF0000"/>
      <name val="Times New Roman"/>
      <family val="1"/>
    </font>
    <font>
      <b/>
      <sz val="14"/>
      <color theme="1"/>
      <name val="Arial"/>
      <family val="2"/>
    </font>
    <font>
      <b/>
      <sz val="18"/>
      <color theme="1"/>
      <name val="Arial Rounded MT Bold"/>
      <family val="2"/>
    </font>
    <font>
      <b/>
      <sz val="22"/>
      <color theme="1"/>
      <name val="Arial Rounded MT Bold"/>
      <family val="2"/>
    </font>
    <font>
      <u/>
      <sz val="11"/>
      <color theme="10"/>
      <name val="Calibri"/>
      <family val="2"/>
      <scheme val="minor"/>
    </font>
    <font>
      <b/>
      <i/>
      <sz val="15"/>
      <color theme="1"/>
      <name val="Times New Roman"/>
      <family val="1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5"/>
      <color theme="1"/>
      <name val="Times New Roman"/>
      <family val="1"/>
    </font>
    <font>
      <sz val="7"/>
      <color theme="1"/>
      <name val="Times New Roman"/>
      <family val="1"/>
    </font>
    <font>
      <sz val="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Arial"/>
      <family val="2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sz val="16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6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3">
    <xf numFmtId="0" fontId="0" fillId="0" borderId="0"/>
    <xf numFmtId="43" fontId="36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71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5" fillId="0" borderId="2" xfId="0" applyFont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/>
    <xf numFmtId="0" fontId="5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18" xfId="0" applyFont="1" applyBorder="1"/>
    <xf numFmtId="0" fontId="1" fillId="0" borderId="19" xfId="0" applyFont="1" applyBorder="1"/>
    <xf numFmtId="0" fontId="1" fillId="2" borderId="5" xfId="0" applyFont="1" applyFill="1" applyBorder="1"/>
    <xf numFmtId="0" fontId="1" fillId="2" borderId="0" xfId="0" applyFont="1" applyFill="1"/>
    <xf numFmtId="0" fontId="1" fillId="0" borderId="16" xfId="0" applyFont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0" borderId="22" xfId="0" applyFont="1" applyBorder="1"/>
    <xf numFmtId="0" fontId="15" fillId="0" borderId="5" xfId="0" applyFont="1" applyBorder="1" applyAlignment="1">
      <alignment horizontal="left"/>
    </xf>
    <xf numFmtId="0" fontId="1" fillId="0" borderId="34" xfId="0" applyFont="1" applyBorder="1"/>
    <xf numFmtId="0" fontId="1" fillId="0" borderId="31" xfId="0" applyFont="1" applyBorder="1"/>
    <xf numFmtId="0" fontId="15" fillId="0" borderId="5" xfId="0" applyFont="1" applyBorder="1" applyAlignment="1">
      <alignment horizontal="left" vertical="top"/>
    </xf>
    <xf numFmtId="0" fontId="1" fillId="0" borderId="45" xfId="0" applyFont="1" applyBorder="1"/>
    <xf numFmtId="0" fontId="1" fillId="0" borderId="26" xfId="0" applyFont="1" applyBorder="1"/>
    <xf numFmtId="0" fontId="15" fillId="0" borderId="24" xfId="0" applyFont="1" applyBorder="1" applyAlignment="1">
      <alignment horizontal="left" vertical="top"/>
    </xf>
    <xf numFmtId="0" fontId="16" fillId="0" borderId="0" xfId="0" applyFont="1"/>
    <xf numFmtId="0" fontId="16" fillId="0" borderId="2" xfId="0" applyFont="1" applyBorder="1"/>
    <xf numFmtId="0" fontId="16" fillId="0" borderId="58" xfId="0" applyFont="1" applyBorder="1"/>
    <xf numFmtId="0" fontId="16" fillId="0" borderId="16" xfId="0" applyFont="1" applyBorder="1"/>
    <xf numFmtId="0" fontId="16" fillId="0" borderId="44" xfId="0" applyFont="1" applyBorder="1"/>
    <xf numFmtId="0" fontId="16" fillId="0" borderId="20" xfId="0" applyFont="1" applyBorder="1"/>
    <xf numFmtId="0" fontId="16" fillId="0" borderId="34" xfId="0" applyFont="1" applyBorder="1"/>
    <xf numFmtId="0" fontId="16" fillId="0" borderId="23" xfId="0" applyFont="1" applyBorder="1"/>
    <xf numFmtId="0" fontId="1" fillId="0" borderId="15" xfId="0" applyFont="1" applyBorder="1"/>
    <xf numFmtId="0" fontId="1" fillId="0" borderId="23" xfId="0" applyFont="1" applyBorder="1"/>
    <xf numFmtId="0" fontId="0" fillId="0" borderId="34" xfId="0" applyBorder="1"/>
    <xf numFmtId="0" fontId="0" fillId="0" borderId="50" xfId="0" applyBorder="1"/>
    <xf numFmtId="0" fontId="5" fillId="0" borderId="1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" xfId="0" applyFont="1" applyBorder="1"/>
    <xf numFmtId="0" fontId="3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" fillId="0" borderId="20" xfId="0" applyFont="1" applyBorder="1"/>
    <xf numFmtId="0" fontId="28" fillId="3" borderId="0" xfId="0" applyFont="1" applyFill="1"/>
    <xf numFmtId="0" fontId="1" fillId="3" borderId="0" xfId="0" applyFont="1" applyFill="1"/>
    <xf numFmtId="0" fontId="38" fillId="0" borderId="2" xfId="0" applyFont="1" applyBorder="1" applyAlignment="1">
      <alignment horizontal="right" vertical="center"/>
    </xf>
    <xf numFmtId="0" fontId="40" fillId="0" borderId="2" xfId="0" applyFont="1" applyBorder="1"/>
    <xf numFmtId="43" fontId="0" fillId="0" borderId="0" xfId="0" applyNumberFormat="1"/>
    <xf numFmtId="49" fontId="0" fillId="0" borderId="0" xfId="0" applyNumberFormat="1"/>
    <xf numFmtId="43" fontId="0" fillId="0" borderId="0" xfId="1" applyFont="1"/>
    <xf numFmtId="43" fontId="37" fillId="0" borderId="0" xfId="0" applyNumberFormat="1" applyFont="1"/>
    <xf numFmtId="4" fontId="37" fillId="0" borderId="0" xfId="0" applyNumberFormat="1" applyFont="1"/>
    <xf numFmtId="0" fontId="37" fillId="0" borderId="0" xfId="0" applyFont="1"/>
    <xf numFmtId="0" fontId="56" fillId="0" borderId="0" xfId="0" applyFont="1"/>
    <xf numFmtId="0" fontId="24" fillId="0" borderId="62" xfId="0" applyFont="1" applyBorder="1" applyAlignment="1">
      <alignment horizontal="center"/>
    </xf>
    <xf numFmtId="0" fontId="24" fillId="0" borderId="63" xfId="0" applyFont="1" applyBorder="1" applyAlignment="1">
      <alignment horizontal="center"/>
    </xf>
    <xf numFmtId="0" fontId="24" fillId="0" borderId="64" xfId="0" applyFont="1" applyBorder="1" applyAlignment="1">
      <alignment horizontal="center"/>
    </xf>
    <xf numFmtId="0" fontId="30" fillId="0" borderId="62" xfId="0" applyFont="1" applyBorder="1" applyAlignment="1">
      <alignment horizontal="center"/>
    </xf>
    <xf numFmtId="0" fontId="30" fillId="0" borderId="63" xfId="0" applyFont="1" applyBorder="1" applyAlignment="1">
      <alignment horizontal="center"/>
    </xf>
    <xf numFmtId="0" fontId="30" fillId="0" borderId="64" xfId="0" applyFont="1" applyBorder="1" applyAlignment="1">
      <alignment horizontal="center"/>
    </xf>
    <xf numFmtId="0" fontId="25" fillId="0" borderId="65" xfId="0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top"/>
    </xf>
    <xf numFmtId="0" fontId="31" fillId="0" borderId="66" xfId="0" applyFont="1" applyBorder="1" applyAlignment="1">
      <alignment horizontal="center" vertical="top"/>
    </xf>
    <xf numFmtId="0" fontId="31" fillId="0" borderId="67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5" fontId="55" fillId="0" borderId="2" xfId="0" applyNumberFormat="1" applyFont="1" applyBorder="1" applyAlignment="1">
      <alignment horizontal="center"/>
    </xf>
    <xf numFmtId="165" fontId="55" fillId="0" borderId="20" xfId="0" applyNumberFormat="1" applyFont="1" applyBorder="1" applyAlignment="1">
      <alignment horizont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3" fillId="0" borderId="19" xfId="0" quotePrefix="1" applyFont="1" applyBorder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39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28" fillId="4" borderId="18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43" fontId="10" fillId="0" borderId="2" xfId="1" applyFont="1" applyBorder="1" applyAlignment="1">
      <alignment horizontal="center" vertical="center"/>
    </xf>
    <xf numFmtId="43" fontId="10" fillId="0" borderId="20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43" fontId="10" fillId="0" borderId="2" xfId="1" applyFont="1" applyBorder="1" applyAlignment="1">
      <alignment horizontal="center"/>
    </xf>
    <xf numFmtId="43" fontId="10" fillId="0" borderId="20" xfId="1" applyFont="1" applyBorder="1" applyAlignment="1">
      <alignment horizont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43" fontId="55" fillId="0" borderId="2" xfId="1" applyFont="1" applyBorder="1" applyAlignment="1">
      <alignment horizontal="center" vertical="center"/>
    </xf>
    <xf numFmtId="43" fontId="55" fillId="0" borderId="20" xfId="1" applyFont="1" applyBorder="1" applyAlignment="1">
      <alignment horizontal="center" vertical="center"/>
    </xf>
    <xf numFmtId="43" fontId="47" fillId="0" borderId="2" xfId="1" applyFont="1" applyBorder="1" applyAlignment="1">
      <alignment horizontal="center" vertical="center"/>
    </xf>
    <xf numFmtId="43" fontId="47" fillId="0" borderId="20" xfId="1" applyFont="1" applyBorder="1" applyAlignment="1">
      <alignment horizontal="center" vertical="center"/>
    </xf>
    <xf numFmtId="0" fontId="16" fillId="0" borderId="8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10" fillId="0" borderId="2" xfId="1" applyFont="1" applyBorder="1" applyAlignment="1">
      <alignment horizontal="left"/>
    </xf>
    <xf numFmtId="43" fontId="10" fillId="0" borderId="20" xfId="1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8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8" xfId="0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/>
    </xf>
    <xf numFmtId="0" fontId="22" fillId="0" borderId="22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39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9" fillId="0" borderId="7" xfId="0" applyFont="1" applyBorder="1" applyAlignment="1">
      <alignment horizontal="center"/>
    </xf>
    <xf numFmtId="39" fontId="1" fillId="0" borderId="7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39" fontId="1" fillId="0" borderId="2" xfId="0" applyNumberFormat="1" applyFont="1" applyBorder="1" applyAlignment="1">
      <alignment horizontal="center"/>
    </xf>
    <xf numFmtId="39" fontId="1" fillId="0" borderId="20" xfId="0" applyNumberFormat="1" applyFont="1" applyBorder="1" applyAlignment="1">
      <alignment horizontal="center"/>
    </xf>
    <xf numFmtId="39" fontId="1" fillId="0" borderId="1" xfId="0" applyNumberFormat="1" applyFont="1" applyBorder="1" applyAlignment="1">
      <alignment horizontal="center"/>
    </xf>
    <xf numFmtId="39" fontId="39" fillId="0" borderId="1" xfId="0" applyNumberFormat="1" applyFont="1" applyBorder="1" applyAlignment="1">
      <alignment horizontal="center"/>
    </xf>
    <xf numFmtId="43" fontId="44" fillId="0" borderId="2" xfId="1" applyFont="1" applyBorder="1" applyAlignment="1">
      <alignment horizontal="center"/>
    </xf>
    <xf numFmtId="43" fontId="44" fillId="0" borderId="20" xfId="1" applyFont="1" applyBorder="1" applyAlignment="1">
      <alignment horizontal="center"/>
    </xf>
    <xf numFmtId="43" fontId="12" fillId="0" borderId="1" xfId="1" applyFont="1" applyBorder="1" applyAlignment="1">
      <alignment horizontal="right"/>
    </xf>
    <xf numFmtId="43" fontId="12" fillId="0" borderId="2" xfId="1" applyFont="1" applyBorder="1" applyAlignment="1">
      <alignment horizontal="right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43" fontId="6" fillId="0" borderId="0" xfId="1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39" fillId="0" borderId="37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39" fillId="0" borderId="37" xfId="0" applyFont="1" applyBorder="1" applyAlignment="1">
      <alignment horizontal="center"/>
    </xf>
    <xf numFmtId="39" fontId="1" fillId="0" borderId="37" xfId="0" applyNumberFormat="1" applyFont="1" applyBorder="1" applyAlignment="1">
      <alignment horizontal="center"/>
    </xf>
    <xf numFmtId="43" fontId="10" fillId="0" borderId="7" xfId="1" applyFont="1" applyBorder="1" applyAlignment="1">
      <alignment horizontal="center"/>
    </xf>
    <xf numFmtId="0" fontId="23" fillId="2" borderId="1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20" xfId="0" applyFont="1" applyFill="1" applyBorder="1" applyAlignment="1">
      <alignment horizontal="left" vertical="center"/>
    </xf>
    <xf numFmtId="43" fontId="12" fillId="0" borderId="2" xfId="1" applyFont="1" applyBorder="1" applyAlignment="1">
      <alignment horizontal="center"/>
    </xf>
    <xf numFmtId="43" fontId="12" fillId="0" borderId="20" xfId="1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43" fontId="46" fillId="0" borderId="2" xfId="0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29" fillId="0" borderId="0" xfId="0" applyFont="1" applyAlignment="1">
      <alignment horizontal="right" vertical="top"/>
    </xf>
    <xf numFmtId="0" fontId="6" fillId="0" borderId="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3" fontId="55" fillId="0" borderId="9" xfId="1" applyFont="1" applyBorder="1" applyAlignment="1">
      <alignment horizontal="center" vertical="center"/>
    </xf>
    <xf numFmtId="43" fontId="55" fillId="0" borderId="21" xfId="1" applyFont="1" applyBorder="1" applyAlignment="1">
      <alignment horizontal="center" vertical="center"/>
    </xf>
    <xf numFmtId="43" fontId="55" fillId="0" borderId="19" xfId="1" applyFont="1" applyBorder="1" applyAlignment="1">
      <alignment horizontal="center" vertical="center"/>
    </xf>
    <xf numFmtId="43" fontId="55" fillId="0" borderId="22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39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7" xfId="0" quotePrefix="1" applyNumberFormat="1" applyFont="1" applyBorder="1" applyAlignment="1">
      <alignment horizontal="center"/>
    </xf>
    <xf numFmtId="39" fontId="39" fillId="0" borderId="7" xfId="0" applyNumberFormat="1" applyFont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3" fillId="0" borderId="2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53" fillId="0" borderId="2" xfId="0" quotePrefix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6" fillId="0" borderId="3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3" fillId="0" borderId="4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53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16" fillId="0" borderId="18" xfId="0" applyFont="1" applyBorder="1" applyAlignment="1">
      <alignment horizontal="center" vertical="top"/>
    </xf>
    <xf numFmtId="0" fontId="16" fillId="0" borderId="19" xfId="0" applyFont="1" applyBorder="1" applyAlignment="1">
      <alignment horizontal="center" vertical="top"/>
    </xf>
    <xf numFmtId="0" fontId="16" fillId="0" borderId="22" xfId="0" applyFont="1" applyBorder="1" applyAlignment="1">
      <alignment horizontal="center" vertical="top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43" fontId="41" fillId="0" borderId="1" xfId="0" applyNumberFormat="1" applyFont="1" applyBorder="1" applyAlignment="1">
      <alignment horizontal="center"/>
    </xf>
    <xf numFmtId="43" fontId="16" fillId="0" borderId="2" xfId="0" applyNumberFormat="1" applyFont="1" applyBorder="1" applyAlignment="1">
      <alignment horizontal="center"/>
    </xf>
    <xf numFmtId="43" fontId="16" fillId="0" borderId="20" xfId="0" applyNumberFormat="1" applyFont="1" applyBorder="1" applyAlignment="1">
      <alignment horizontal="center"/>
    </xf>
    <xf numFmtId="43" fontId="41" fillId="0" borderId="1" xfId="1" applyFont="1" applyBorder="1" applyAlignment="1">
      <alignment horizontal="center" shrinkToFit="1"/>
    </xf>
    <xf numFmtId="43" fontId="16" fillId="0" borderId="2" xfId="1" applyFont="1" applyBorder="1" applyAlignment="1">
      <alignment horizontal="center" shrinkToFit="1"/>
    </xf>
    <xf numFmtId="43" fontId="16" fillId="0" borderId="20" xfId="1" applyFont="1" applyBorder="1" applyAlignment="1">
      <alignment horizontal="center" shrinkToFit="1"/>
    </xf>
    <xf numFmtId="0" fontId="39" fillId="0" borderId="29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49" fontId="41" fillId="0" borderId="1" xfId="0" applyNumberFormat="1" applyFont="1" applyBorder="1" applyAlignment="1">
      <alignment horizontal="center"/>
    </xf>
    <xf numFmtId="49" fontId="16" fillId="0" borderId="2" xfId="0" applyNumberFormat="1" applyFont="1" applyBorder="1" applyAlignment="1">
      <alignment horizontal="center"/>
    </xf>
    <xf numFmtId="49" fontId="16" fillId="0" borderId="20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49" fontId="41" fillId="0" borderId="1" xfId="0" applyNumberFormat="1" applyFont="1" applyBorder="1" applyAlignment="1">
      <alignment horizontal="center" vertical="center"/>
    </xf>
    <xf numFmtId="49" fontId="41" fillId="0" borderId="2" xfId="0" applyNumberFormat="1" applyFont="1" applyBorder="1" applyAlignment="1">
      <alignment horizontal="center" vertical="center"/>
    </xf>
    <xf numFmtId="49" fontId="41" fillId="0" borderId="20" xfId="0" applyNumberFormat="1" applyFont="1" applyBorder="1" applyAlignment="1">
      <alignment horizontal="center" vertical="center"/>
    </xf>
    <xf numFmtId="0" fontId="39" fillId="0" borderId="29" xfId="0" quotePrefix="1" applyFont="1" applyBorder="1" applyAlignment="1">
      <alignment horizontal="left"/>
    </xf>
    <xf numFmtId="49" fontId="16" fillId="0" borderId="2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43" fontId="16" fillId="0" borderId="2" xfId="1" applyFont="1" applyBorder="1" applyAlignment="1">
      <alignment horizontal="center"/>
    </xf>
    <xf numFmtId="43" fontId="16" fillId="0" borderId="20" xfId="1" applyFont="1" applyBorder="1" applyAlignment="1">
      <alignment horizontal="center"/>
    </xf>
    <xf numFmtId="0" fontId="1" fillId="0" borderId="29" xfId="0" applyFont="1" applyBorder="1" applyAlignment="1">
      <alignment horizontal="left"/>
    </xf>
    <xf numFmtId="0" fontId="45" fillId="0" borderId="1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14" fontId="39" fillId="0" borderId="1" xfId="0" quotePrefix="1" applyNumberFormat="1" applyFont="1" applyBorder="1" applyAlignment="1">
      <alignment horizontal="center"/>
    </xf>
    <xf numFmtId="0" fontId="39" fillId="0" borderId="29" xfId="0" applyFont="1" applyBorder="1" applyAlignment="1">
      <alignment horizontal="left" vertical="center"/>
    </xf>
    <xf numFmtId="0" fontId="39" fillId="0" borderId="1" xfId="0" quotePrefix="1" applyFont="1" applyBorder="1" applyAlignment="1">
      <alignment horizontal="center"/>
    </xf>
    <xf numFmtId="0" fontId="39" fillId="0" borderId="6" xfId="0" applyFont="1" applyBorder="1" applyAlignment="1">
      <alignment horizontal="left" vertical="center"/>
    </xf>
    <xf numFmtId="0" fontId="39" fillId="0" borderId="1" xfId="0" quotePrefix="1" applyFont="1" applyBorder="1" applyAlignment="1">
      <alignment horizontal="center" vertical="center"/>
    </xf>
    <xf numFmtId="0" fontId="39" fillId="0" borderId="7" xfId="0" quotePrefix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/>
    </xf>
    <xf numFmtId="49" fontId="41" fillId="0" borderId="37" xfId="0" applyNumberFormat="1" applyFont="1" applyBorder="1" applyAlignment="1">
      <alignment horizontal="center" vertical="center"/>
    </xf>
    <xf numFmtId="49" fontId="16" fillId="0" borderId="37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17" fontId="39" fillId="0" borderId="1" xfId="0" quotePrefix="1" applyNumberFormat="1" applyFont="1" applyBorder="1" applyAlignment="1">
      <alignment horizontal="center"/>
    </xf>
    <xf numFmtId="0" fontId="43" fillId="0" borderId="1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8" fillId="0" borderId="16" xfId="0" applyFont="1" applyBorder="1" applyAlignment="1">
      <alignment horizontal="right" vertical="center"/>
    </xf>
    <xf numFmtId="0" fontId="11" fillId="0" borderId="0" xfId="0" applyFont="1" applyAlignment="1">
      <alignment horizontal="left"/>
    </xf>
    <xf numFmtId="0" fontId="46" fillId="0" borderId="43" xfId="0" quotePrefix="1" applyFont="1" applyBorder="1" applyAlignment="1">
      <alignment horizontal="center"/>
    </xf>
    <xf numFmtId="0" fontId="46" fillId="0" borderId="43" xfId="0" applyFont="1" applyBorder="1" applyAlignment="1">
      <alignment horizontal="center"/>
    </xf>
    <xf numFmtId="43" fontId="46" fillId="0" borderId="15" xfId="1" applyFont="1" applyBorder="1" applyAlignment="1">
      <alignment horizontal="center" vertical="center"/>
    </xf>
    <xf numFmtId="43" fontId="6" fillId="0" borderId="16" xfId="1" applyFont="1" applyBorder="1" applyAlignment="1">
      <alignment horizontal="center" vertical="center"/>
    </xf>
    <xf numFmtId="43" fontId="6" fillId="4" borderId="16" xfId="1" applyFont="1" applyFill="1" applyBorder="1" applyAlignment="1">
      <alignment horizontal="center" vertical="center"/>
    </xf>
    <xf numFmtId="43" fontId="6" fillId="4" borderId="23" xfId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39" fillId="0" borderId="11" xfId="0" quotePrefix="1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45" fillId="0" borderId="4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1" fillId="0" borderId="29" xfId="0" quotePrefix="1" applyFont="1" applyBorder="1" applyAlignment="1">
      <alignment horizontal="left" vertical="center"/>
    </xf>
    <xf numFmtId="14" fontId="1" fillId="0" borderId="2" xfId="0" quotePrefix="1" applyNumberFormat="1" applyFont="1" applyBorder="1" applyAlignment="1">
      <alignment horizontal="center"/>
    </xf>
    <xf numFmtId="14" fontId="1" fillId="0" borderId="20" xfId="0" quotePrefix="1" applyNumberFormat="1" applyFont="1" applyBorder="1" applyAlignment="1">
      <alignment horizontal="center"/>
    </xf>
    <xf numFmtId="49" fontId="57" fillId="0" borderId="37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49" fontId="57" fillId="0" borderId="1" xfId="0" applyNumberFormat="1" applyFont="1" applyBorder="1" applyAlignment="1">
      <alignment horizontal="center" vertical="center"/>
    </xf>
    <xf numFmtId="49" fontId="57" fillId="0" borderId="2" xfId="0" applyNumberFormat="1" applyFont="1" applyBorder="1" applyAlignment="1">
      <alignment horizontal="center" vertical="center"/>
    </xf>
    <xf numFmtId="49" fontId="57" fillId="0" borderId="20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14" fontId="39" fillId="0" borderId="1" xfId="0" applyNumberFormat="1" applyFont="1" applyBorder="1" applyAlignment="1">
      <alignment horizontal="center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29" xfId="0" quotePrefix="1" applyFont="1" applyBorder="1" applyAlignment="1">
      <alignment horizontal="left" vertical="center"/>
    </xf>
    <xf numFmtId="0" fontId="39" fillId="0" borderId="20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43" fontId="6" fillId="0" borderId="23" xfId="1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0" fontId="43" fillId="0" borderId="7" xfId="0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49" fontId="51" fillId="0" borderId="1" xfId="0" applyNumberFormat="1" applyFont="1" applyBorder="1" applyAlignment="1">
      <alignment horizontal="center"/>
    </xf>
    <xf numFmtId="49" fontId="51" fillId="0" borderId="2" xfId="0" applyNumberFormat="1" applyFont="1" applyBorder="1" applyAlignment="1">
      <alignment horizontal="center"/>
    </xf>
    <xf numFmtId="49" fontId="51" fillId="0" borderId="20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14" fontId="39" fillId="0" borderId="2" xfId="0" quotePrefix="1" applyNumberFormat="1" applyFont="1" applyBorder="1" applyAlignment="1">
      <alignment horizontal="center"/>
    </xf>
    <xf numFmtId="14" fontId="39" fillId="0" borderId="20" xfId="0" quotePrefix="1" applyNumberFormat="1" applyFont="1" applyBorder="1" applyAlignment="1">
      <alignment horizontal="center"/>
    </xf>
    <xf numFmtId="0" fontId="39" fillId="0" borderId="2" xfId="0" quotePrefix="1" applyFont="1" applyBorder="1" applyAlignment="1">
      <alignment horizontal="center"/>
    </xf>
    <xf numFmtId="0" fontId="39" fillId="0" borderId="20" xfId="0" quotePrefix="1" applyFont="1" applyBorder="1" applyAlignment="1">
      <alignment horizontal="center"/>
    </xf>
    <xf numFmtId="43" fontId="57" fillId="0" borderId="2" xfId="1" applyFont="1" applyBorder="1" applyAlignment="1">
      <alignment horizontal="center" shrinkToFit="1"/>
    </xf>
    <xf numFmtId="43" fontId="57" fillId="0" borderId="20" xfId="1" applyFont="1" applyBorder="1" applyAlignment="1">
      <alignment horizontal="center" shrinkToFit="1"/>
    </xf>
    <xf numFmtId="43" fontId="57" fillId="0" borderId="1" xfId="0" applyNumberFormat="1" applyFont="1" applyBorder="1" applyAlignment="1">
      <alignment horizontal="center"/>
    </xf>
    <xf numFmtId="43" fontId="57" fillId="0" borderId="2" xfId="0" applyNumberFormat="1" applyFont="1" applyBorder="1" applyAlignment="1">
      <alignment horizontal="center"/>
    </xf>
    <xf numFmtId="43" fontId="57" fillId="0" borderId="2" xfId="1" applyFont="1" applyBorder="1" applyAlignment="1">
      <alignment horizontal="center"/>
    </xf>
    <xf numFmtId="43" fontId="57" fillId="0" borderId="20" xfId="1" applyFont="1" applyBorder="1" applyAlignment="1">
      <alignment horizontal="center"/>
    </xf>
    <xf numFmtId="0" fontId="28" fillId="0" borderId="29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20" xfId="0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43" fontId="57" fillId="0" borderId="1" xfId="1" applyFont="1" applyBorder="1" applyAlignment="1">
      <alignment horizontal="center" shrinkToFit="1"/>
    </xf>
    <xf numFmtId="0" fontId="41" fillId="0" borderId="18" xfId="0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43" fontId="41" fillId="4" borderId="1" xfId="0" applyNumberFormat="1" applyFont="1" applyFill="1" applyBorder="1" applyAlignment="1">
      <alignment horizontal="center"/>
    </xf>
    <xf numFmtId="43" fontId="16" fillId="4" borderId="2" xfId="0" applyNumberFormat="1" applyFont="1" applyFill="1" applyBorder="1" applyAlignment="1">
      <alignment horizontal="center"/>
    </xf>
    <xf numFmtId="43" fontId="16" fillId="4" borderId="2" xfId="1" applyFont="1" applyFill="1" applyBorder="1" applyAlignment="1">
      <alignment horizontal="center"/>
    </xf>
    <xf numFmtId="43" fontId="16" fillId="4" borderId="20" xfId="1" applyFont="1" applyFill="1" applyBorder="1" applyAlignment="1">
      <alignment horizontal="center"/>
    </xf>
    <xf numFmtId="43" fontId="41" fillId="4" borderId="1" xfId="1" applyFont="1" applyFill="1" applyBorder="1" applyAlignment="1">
      <alignment horizontal="center" shrinkToFit="1"/>
    </xf>
    <xf numFmtId="43" fontId="16" fillId="4" borderId="2" xfId="1" applyFont="1" applyFill="1" applyBorder="1" applyAlignment="1">
      <alignment horizontal="center" shrinkToFit="1"/>
    </xf>
    <xf numFmtId="43" fontId="16" fillId="4" borderId="20" xfId="1" applyFont="1" applyFill="1" applyBorder="1" applyAlignment="1">
      <alignment horizontal="center" shrinkToFit="1"/>
    </xf>
    <xf numFmtId="0" fontId="39" fillId="4" borderId="1" xfId="0" quotePrefix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49" fontId="41" fillId="4" borderId="1" xfId="0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49" fontId="16" fillId="4" borderId="20" xfId="0" applyNumberFormat="1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45" fillId="4" borderId="2" xfId="0" applyFont="1" applyFill="1" applyBorder="1" applyAlignment="1">
      <alignment horizontal="center" vertical="center"/>
    </xf>
    <xf numFmtId="0" fontId="45" fillId="4" borderId="20" xfId="0" applyFont="1" applyFill="1" applyBorder="1" applyAlignment="1">
      <alignment horizontal="center" vertical="center"/>
    </xf>
    <xf numFmtId="16" fontId="39" fillId="0" borderId="1" xfId="0" quotePrefix="1" applyNumberFormat="1" applyFont="1" applyBorder="1" applyAlignment="1">
      <alignment horizontal="center"/>
    </xf>
    <xf numFmtId="0" fontId="39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/>
    </xf>
    <xf numFmtId="0" fontId="39" fillId="0" borderId="1" xfId="0" quotePrefix="1" applyFont="1" applyBorder="1" applyAlignment="1">
      <alignment horizontal="left"/>
    </xf>
    <xf numFmtId="0" fontId="50" fillId="0" borderId="1" xfId="0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43" fontId="1" fillId="0" borderId="7" xfId="0" applyNumberFormat="1" applyFont="1" applyBorder="1" applyAlignment="1">
      <alignment horizontal="center" vertical="center"/>
    </xf>
    <xf numFmtId="43" fontId="39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39" fillId="0" borderId="7" xfId="0" applyNumberFormat="1" applyFont="1" applyBorder="1" applyAlignment="1">
      <alignment horizontal="center" vertical="center"/>
    </xf>
    <xf numFmtId="43" fontId="6" fillId="0" borderId="16" xfId="1" applyFont="1" applyBorder="1" applyAlignment="1">
      <alignment horizontal="center" vertical="top"/>
    </xf>
    <xf numFmtId="43" fontId="6" fillId="0" borderId="23" xfId="1" applyFont="1" applyBorder="1" applyAlignment="1">
      <alignment horizontal="center" vertical="top"/>
    </xf>
    <xf numFmtId="0" fontId="17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6" fillId="0" borderId="32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5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12" fillId="0" borderId="18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43" fontId="16" fillId="0" borderId="7" xfId="0" applyNumberFormat="1" applyFont="1" applyBorder="1" applyAlignment="1">
      <alignment horizontal="center"/>
    </xf>
    <xf numFmtId="43" fontId="16" fillId="0" borderId="7" xfId="1" applyFont="1" applyBorder="1" applyAlignment="1">
      <alignment horizontal="center" shrinkToFit="1"/>
    </xf>
    <xf numFmtId="0" fontId="1" fillId="0" borderId="48" xfId="0" applyFont="1" applyBorder="1" applyAlignment="1">
      <alignment horizontal="center"/>
    </xf>
    <xf numFmtId="49" fontId="41" fillId="0" borderId="7" xfId="0" applyNumberFormat="1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12" fillId="0" borderId="53" xfId="0" applyFont="1" applyBorder="1" applyAlignment="1">
      <alignment horizontal="center" vertical="top"/>
    </xf>
    <xf numFmtId="0" fontId="50" fillId="0" borderId="7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3" fontId="54" fillId="0" borderId="16" xfId="1" applyFont="1" applyBorder="1" applyAlignment="1">
      <alignment horizontal="center" vertical="center"/>
    </xf>
    <xf numFmtId="43" fontId="54" fillId="0" borderId="23" xfId="1" applyFont="1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1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49" fontId="16" fillId="0" borderId="37" xfId="0" applyNumberFormat="1" applyFont="1" applyBorder="1" applyAlignment="1">
      <alignment horizontal="center"/>
    </xf>
    <xf numFmtId="0" fontId="41" fillId="0" borderId="37" xfId="0" applyFont="1" applyBorder="1" applyAlignment="1">
      <alignment horizontal="center"/>
    </xf>
    <xf numFmtId="43" fontId="16" fillId="0" borderId="37" xfId="1" applyFont="1" applyBorder="1" applyAlignment="1">
      <alignment horizontal="center"/>
    </xf>
    <xf numFmtId="0" fontId="16" fillId="0" borderId="52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48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60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43" fontId="41" fillId="0" borderId="59" xfId="1" applyFont="1" applyBorder="1" applyAlignment="1">
      <alignment horizontal="center"/>
    </xf>
    <xf numFmtId="43" fontId="16" fillId="0" borderId="16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3" fontId="41" fillId="0" borderId="42" xfId="1" applyFont="1" applyBorder="1" applyAlignment="1">
      <alignment horizontal="center" vertical="center"/>
    </xf>
    <xf numFmtId="43" fontId="16" fillId="0" borderId="43" xfId="1" applyFont="1" applyBorder="1" applyAlignment="1">
      <alignment horizontal="center" vertical="center"/>
    </xf>
    <xf numFmtId="43" fontId="41" fillId="0" borderId="1" xfId="0" applyNumberFormat="1" applyFont="1" applyBorder="1" applyAlignment="1">
      <alignment horizontal="center" vertical="center"/>
    </xf>
    <xf numFmtId="43" fontId="16" fillId="0" borderId="2" xfId="0" applyNumberFormat="1" applyFont="1" applyBorder="1" applyAlignment="1">
      <alignment horizontal="center" vertical="center"/>
    </xf>
    <xf numFmtId="43" fontId="41" fillId="0" borderId="46" xfId="0" applyNumberFormat="1" applyFont="1" applyBorder="1" applyAlignment="1">
      <alignment horizontal="center"/>
    </xf>
    <xf numFmtId="43" fontId="16" fillId="0" borderId="31" xfId="0" applyNumberFormat="1" applyFont="1" applyBorder="1" applyAlignment="1">
      <alignment horizontal="center"/>
    </xf>
    <xf numFmtId="43" fontId="47" fillId="0" borderId="42" xfId="1" applyFont="1" applyBorder="1" applyAlignment="1">
      <alignment horizontal="center" vertical="center"/>
    </xf>
    <xf numFmtId="43" fontId="47" fillId="0" borderId="43" xfId="1" applyFont="1" applyBorder="1" applyAlignment="1">
      <alignment horizontal="center" vertical="center"/>
    </xf>
    <xf numFmtId="43" fontId="59" fillId="4" borderId="43" xfId="1" applyFont="1" applyFill="1" applyBorder="1" applyAlignment="1">
      <alignment horizontal="center" vertical="center"/>
    </xf>
    <xf numFmtId="43" fontId="59" fillId="4" borderId="51" xfId="1" applyFont="1" applyFill="1" applyBorder="1" applyAlignment="1">
      <alignment horizontal="center" vertical="center"/>
    </xf>
    <xf numFmtId="43" fontId="58" fillId="4" borderId="31" xfId="0" applyNumberFormat="1" applyFont="1" applyFill="1" applyBorder="1" applyAlignment="1">
      <alignment horizontal="right"/>
    </xf>
    <xf numFmtId="43" fontId="58" fillId="4" borderId="49" xfId="0" applyNumberFormat="1" applyFont="1" applyFill="1" applyBorder="1" applyAlignment="1">
      <alignment horizontal="right"/>
    </xf>
    <xf numFmtId="43" fontId="58" fillId="4" borderId="2" xfId="0" applyNumberFormat="1" applyFont="1" applyFill="1" applyBorder="1" applyAlignment="1">
      <alignment horizontal="center" vertical="top"/>
    </xf>
    <xf numFmtId="43" fontId="58" fillId="4" borderId="26" xfId="0" applyNumberFormat="1" applyFont="1" applyFill="1" applyBorder="1" applyAlignment="1">
      <alignment horizontal="center" vertical="top"/>
    </xf>
    <xf numFmtId="43" fontId="58" fillId="4" borderId="43" xfId="1" applyFont="1" applyFill="1" applyBorder="1" applyAlignment="1">
      <alignment horizontal="center" vertical="top"/>
    </xf>
    <xf numFmtId="43" fontId="58" fillId="4" borderId="51" xfId="1" applyFont="1" applyFill="1" applyBorder="1" applyAlignment="1">
      <alignment horizontal="center" vertical="top"/>
    </xf>
    <xf numFmtId="0" fontId="6" fillId="0" borderId="56" xfId="0" applyFont="1" applyBorder="1" applyAlignment="1">
      <alignment horizontal="right" vertical="center"/>
    </xf>
    <xf numFmtId="0" fontId="6" fillId="0" borderId="57" xfId="0" applyFont="1" applyBorder="1" applyAlignment="1">
      <alignment horizontal="right" vertical="center"/>
    </xf>
    <xf numFmtId="0" fontId="6" fillId="0" borderId="46" xfId="0" applyFont="1" applyBorder="1" applyAlignment="1">
      <alignment horizontal="right" vertical="center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5" fillId="0" borderId="2" xfId="0" applyFont="1" applyBorder="1" applyAlignment="1">
      <alignment horizontal="center"/>
    </xf>
    <xf numFmtId="0" fontId="55" fillId="0" borderId="20" xfId="0" applyFont="1" applyBorder="1" applyAlignment="1">
      <alignment horizontal="center"/>
    </xf>
    <xf numFmtId="0" fontId="55" fillId="0" borderId="2" xfId="0" quotePrefix="1" applyFont="1" applyBorder="1" applyAlignment="1">
      <alignment horizontal="center"/>
    </xf>
    <xf numFmtId="0" fontId="55" fillId="0" borderId="20" xfId="0" quotePrefix="1" applyFont="1" applyBorder="1" applyAlignment="1">
      <alignment horizontal="center"/>
    </xf>
    <xf numFmtId="0" fontId="55" fillId="0" borderId="1" xfId="0" applyFont="1" applyBorder="1" applyAlignment="1">
      <alignment horizontal="center" vertical="top"/>
    </xf>
    <xf numFmtId="0" fontId="55" fillId="0" borderId="2" xfId="0" applyFont="1" applyBorder="1" applyAlignment="1">
      <alignment horizontal="center" vertical="top"/>
    </xf>
    <xf numFmtId="0" fontId="55" fillId="0" borderId="20" xfId="0" applyFont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6" xfId="0" applyFont="1" applyBorder="1" applyAlignment="1">
      <alignment horizontal="center" vertical="top"/>
    </xf>
    <xf numFmtId="0" fontId="12" fillId="0" borderId="48" xfId="0" applyFont="1" applyBorder="1" applyAlignment="1">
      <alignment horizontal="center" vertical="top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39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/>
    </xf>
    <xf numFmtId="0" fontId="48" fillId="4" borderId="1" xfId="0" applyFont="1" applyFill="1" applyBorder="1" applyAlignment="1">
      <alignment horizontal="center" wrapText="1"/>
    </xf>
    <xf numFmtId="0" fontId="48" fillId="4" borderId="2" xfId="0" applyFont="1" applyFill="1" applyBorder="1" applyAlignment="1">
      <alignment horizontal="center" wrapText="1"/>
    </xf>
    <xf numFmtId="0" fontId="48" fillId="4" borderId="20" xfId="0" applyFont="1" applyFill="1" applyBorder="1" applyAlignment="1">
      <alignment horizontal="center" wrapText="1"/>
    </xf>
    <xf numFmtId="0" fontId="1" fillId="4" borderId="48" xfId="0" applyFont="1" applyFill="1" applyBorder="1" applyAlignment="1">
      <alignment horizontal="center"/>
    </xf>
    <xf numFmtId="0" fontId="13" fillId="0" borderId="29" xfId="0" applyFont="1" applyBorder="1" applyAlignment="1">
      <alignment horizontal="left"/>
    </xf>
    <xf numFmtId="39" fontId="3" fillId="0" borderId="1" xfId="0" applyNumberFormat="1" applyFont="1" applyBorder="1" applyAlignment="1">
      <alignment horizontal="center"/>
    </xf>
    <xf numFmtId="39" fontId="3" fillId="0" borderId="2" xfId="0" applyNumberFormat="1" applyFont="1" applyBorder="1" applyAlignment="1">
      <alignment horizontal="center"/>
    </xf>
    <xf numFmtId="39" fontId="3" fillId="0" borderId="20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39" fontId="53" fillId="0" borderId="46" xfId="0" applyNumberFormat="1" applyFont="1" applyBorder="1" applyAlignment="1">
      <alignment horizontal="center"/>
    </xf>
    <xf numFmtId="39" fontId="5" fillId="0" borderId="31" xfId="0" applyNumberFormat="1" applyFont="1" applyBorder="1" applyAlignment="1">
      <alignment horizontal="center"/>
    </xf>
    <xf numFmtId="43" fontId="60" fillId="4" borderId="31" xfId="1" applyFont="1" applyFill="1" applyBorder="1" applyAlignment="1">
      <alignment horizontal="center"/>
    </xf>
    <xf numFmtId="43" fontId="60" fillId="4" borderId="49" xfId="1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4" fontId="39" fillId="0" borderId="1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right"/>
    </xf>
    <xf numFmtId="4" fontId="1" fillId="0" borderId="26" xfId="0" applyNumberFormat="1" applyFont="1" applyBorder="1" applyAlignment="1">
      <alignment horizontal="right"/>
    </xf>
    <xf numFmtId="0" fontId="10" fillId="0" borderId="3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35" xfId="0" applyFont="1" applyBorder="1" applyAlignment="1">
      <alignment horizontal="center" vertical="top"/>
    </xf>
    <xf numFmtId="0" fontId="10" fillId="0" borderId="19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6" xfId="0" applyFont="1" applyBorder="1" applyAlignment="1">
      <alignment horizontal="center" vertical="top"/>
    </xf>
    <xf numFmtId="0" fontId="39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4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4" fontId="53" fillId="0" borderId="46" xfId="0" applyNumberFormat="1" applyFont="1" applyBorder="1" applyAlignment="1">
      <alignment horizontal="center"/>
    </xf>
    <xf numFmtId="4" fontId="53" fillId="0" borderId="31" xfId="0" applyNumberFormat="1" applyFont="1" applyBorder="1" applyAlignment="1">
      <alignment horizontal="center"/>
    </xf>
    <xf numFmtId="4" fontId="60" fillId="4" borderId="31" xfId="0" applyNumberFormat="1" applyFont="1" applyFill="1" applyBorder="1" applyAlignment="1">
      <alignment horizontal="right"/>
    </xf>
    <xf numFmtId="4" fontId="60" fillId="4" borderId="49" xfId="0" applyNumberFormat="1" applyFont="1" applyFill="1" applyBorder="1" applyAlignment="1">
      <alignment horizontal="right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5" xfId="0" applyFont="1" applyBorder="1" applyAlignment="1">
      <alignment horizont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64" fontId="53" fillId="0" borderId="31" xfId="0" applyNumberFormat="1" applyFont="1" applyBorder="1" applyAlignment="1">
      <alignment horizontal="right"/>
    </xf>
    <xf numFmtId="0" fontId="53" fillId="0" borderId="31" xfId="0" applyFont="1" applyBorder="1" applyAlignment="1">
      <alignment horizontal="right"/>
    </xf>
    <xf numFmtId="0" fontId="53" fillId="0" borderId="49" xfId="0" applyFont="1" applyBorder="1" applyAlignment="1">
      <alignment horizontal="right"/>
    </xf>
    <xf numFmtId="0" fontId="6" fillId="0" borderId="23" xfId="0" applyFont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5" fillId="0" borderId="9" xfId="0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15" fillId="0" borderId="39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" fillId="0" borderId="27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2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" fontId="62" fillId="4" borderId="2" xfId="0" applyNumberFormat="1" applyFont="1" applyFill="1" applyBorder="1" applyAlignment="1">
      <alignment vertical="center"/>
    </xf>
    <xf numFmtId="4" fontId="62" fillId="4" borderId="20" xfId="0" applyNumberFormat="1" applyFont="1" applyFill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4" fontId="62" fillId="4" borderId="26" xfId="0" applyNumberFormat="1" applyFont="1" applyFill="1" applyBorder="1" applyAlignment="1">
      <alignment vertical="center"/>
    </xf>
    <xf numFmtId="49" fontId="5" fillId="0" borderId="6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46" fillId="0" borderId="8" xfId="0" applyFont="1" applyBorder="1" applyAlignment="1">
      <alignment horizontal="center" vertical="center"/>
    </xf>
    <xf numFmtId="4" fontId="60" fillId="4" borderId="9" xfId="0" applyNumberFormat="1" applyFont="1" applyFill="1" applyBorder="1" applyAlignment="1">
      <alignment vertical="center"/>
    </xf>
    <xf numFmtId="4" fontId="60" fillId="4" borderId="27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61" fillId="4" borderId="16" xfId="0" applyNumberFormat="1" applyFont="1" applyFill="1" applyBorder="1" applyAlignment="1">
      <alignment vertical="center"/>
    </xf>
    <xf numFmtId="4" fontId="61" fillId="4" borderId="23" xfId="0" applyNumberFormat="1" applyFont="1" applyFill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44" fillId="0" borderId="8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21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8" fillId="0" borderId="0" xfId="2" applyFont="1" applyBorder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cg/ludy_cab@P7.2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9"/>
  <sheetViews>
    <sheetView tabSelected="1" zoomScale="90" zoomScaleNormal="90" workbookViewId="0">
      <selection activeCell="CC18" sqref="CC18"/>
    </sheetView>
  </sheetViews>
  <sheetFormatPr defaultColWidth="9" defaultRowHeight="14.4"/>
  <cols>
    <col min="1" max="77" width="1.6640625" customWidth="1"/>
    <col min="78" max="78" width="2.88671875" customWidth="1"/>
    <col min="79" max="79" width="14" bestFit="1" customWidth="1"/>
  </cols>
  <sheetData>
    <row r="1" spans="1:81" ht="9.9" customHeight="1"/>
    <row r="2" spans="1:81" ht="30" customHeight="1">
      <c r="A2" s="200" t="s">
        <v>0</v>
      </c>
      <c r="B2" s="201"/>
      <c r="C2" s="201"/>
      <c r="D2" s="201"/>
      <c r="E2" s="201"/>
      <c r="F2" s="201"/>
      <c r="G2" s="201"/>
      <c r="H2" s="202"/>
      <c r="I2" s="55" t="s">
        <v>1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7"/>
      <c r="BS2" s="58" t="s">
        <v>2</v>
      </c>
      <c r="BT2" s="59"/>
      <c r="BU2" s="59"/>
      <c r="BV2" s="59"/>
      <c r="BW2" s="59"/>
      <c r="BX2" s="59"/>
      <c r="BY2" s="59"/>
      <c r="BZ2" s="60"/>
    </row>
    <row r="3" spans="1:81" ht="30" customHeight="1">
      <c r="A3" s="203"/>
      <c r="B3" s="204"/>
      <c r="C3" s="204"/>
      <c r="D3" s="204"/>
      <c r="E3" s="204"/>
      <c r="F3" s="204"/>
      <c r="G3" s="204"/>
      <c r="H3" s="205"/>
      <c r="I3" s="61" t="s">
        <v>3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3"/>
      <c r="BS3" s="64" t="s">
        <v>196</v>
      </c>
      <c r="BT3" s="65"/>
      <c r="BU3" s="65"/>
      <c r="BV3" s="65"/>
      <c r="BW3" s="65"/>
      <c r="BX3" s="65"/>
      <c r="BY3" s="65"/>
      <c r="BZ3" s="66"/>
    </row>
    <row r="4" spans="1:81" ht="15" customHeight="1"/>
    <row r="5" spans="1:81" ht="18" customHeight="1">
      <c r="A5" s="67" t="s">
        <v>4</v>
      </c>
      <c r="B5" s="68"/>
      <c r="C5" s="68"/>
      <c r="D5" s="68"/>
      <c r="E5" s="68"/>
      <c r="F5" s="190" t="s">
        <v>197</v>
      </c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1"/>
      <c r="AA5" s="67" t="s">
        <v>5</v>
      </c>
      <c r="AB5" s="68"/>
      <c r="AC5" s="68"/>
      <c r="AD5" s="68"/>
      <c r="AE5" s="68"/>
      <c r="AF5" s="194" t="s">
        <v>6</v>
      </c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6"/>
      <c r="BA5" s="69" t="s">
        <v>7</v>
      </c>
      <c r="BB5" s="70"/>
      <c r="BC5" s="70"/>
      <c r="BD5" s="70"/>
      <c r="BE5" s="70"/>
      <c r="BF5" s="70"/>
      <c r="BG5" s="70"/>
      <c r="BH5" s="70"/>
      <c r="BI5" s="70"/>
      <c r="BJ5" s="70"/>
      <c r="BK5" s="71">
        <v>45733</v>
      </c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2"/>
    </row>
    <row r="6" spans="1:81" ht="20.100000000000001" customHeight="1">
      <c r="A6" s="10"/>
      <c r="B6" s="11"/>
      <c r="C6" s="11"/>
      <c r="D6" s="11"/>
      <c r="E6" s="11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3"/>
      <c r="AA6" s="10"/>
      <c r="AB6" s="11"/>
      <c r="AC6" s="11"/>
      <c r="AD6" s="11"/>
      <c r="AE6" s="11"/>
      <c r="AF6" s="197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9"/>
      <c r="BA6" s="73" t="s">
        <v>8</v>
      </c>
      <c r="BB6" s="74"/>
      <c r="BC6" s="74"/>
      <c r="BD6" s="74"/>
      <c r="BE6" s="75">
        <v>1009</v>
      </c>
      <c r="BF6" s="76"/>
      <c r="BG6" s="76"/>
      <c r="BH6" s="76"/>
      <c r="BI6" s="76"/>
      <c r="BJ6" s="76"/>
      <c r="BK6" s="76"/>
      <c r="BL6" s="76"/>
      <c r="BM6" s="76"/>
      <c r="BN6" s="73" t="s">
        <v>9</v>
      </c>
      <c r="BO6" s="74"/>
      <c r="BP6" s="74"/>
      <c r="BQ6" s="74"/>
      <c r="BR6" s="75" t="s">
        <v>214</v>
      </c>
      <c r="BS6" s="76"/>
      <c r="BT6" s="76"/>
      <c r="BU6" s="76"/>
      <c r="BV6" s="76"/>
      <c r="BW6" s="76"/>
      <c r="BX6" s="76"/>
      <c r="BY6" s="76"/>
      <c r="BZ6" s="77"/>
    </row>
    <row r="7" spans="1:81" ht="45" customHeight="1">
      <c r="A7" s="78" t="s">
        <v>10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81" ht="24.9" customHeight="1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43"/>
    </row>
    <row r="9" spans="1:81" ht="24.9" customHeight="1">
      <c r="A9" s="81" t="s">
        <v>12</v>
      </c>
      <c r="B9" s="82"/>
      <c r="C9" s="82"/>
      <c r="D9" s="82"/>
      <c r="E9" s="82"/>
      <c r="F9" s="83"/>
      <c r="G9" s="84" t="s">
        <v>198</v>
      </c>
      <c r="H9" s="85"/>
      <c r="I9" s="85"/>
      <c r="J9" s="85"/>
      <c r="K9" s="85"/>
      <c r="L9" s="85"/>
      <c r="M9" s="85"/>
      <c r="N9" s="85"/>
      <c r="O9" s="85"/>
      <c r="P9" s="86"/>
      <c r="Q9" s="40"/>
      <c r="R9" s="41" t="s">
        <v>13</v>
      </c>
      <c r="S9" s="46" t="s">
        <v>200</v>
      </c>
      <c r="T9" s="4" t="s">
        <v>14</v>
      </c>
      <c r="U9" s="2"/>
      <c r="V9" s="87" t="s">
        <v>15</v>
      </c>
      <c r="W9" s="87"/>
      <c r="X9" s="87"/>
      <c r="Y9" s="87"/>
      <c r="Z9" s="87"/>
      <c r="AA9" s="87"/>
      <c r="AB9" s="87"/>
      <c r="AC9" s="87"/>
      <c r="AD9" s="87"/>
      <c r="AE9" s="88"/>
      <c r="AF9" s="69" t="s">
        <v>16</v>
      </c>
      <c r="AG9" s="70"/>
      <c r="AH9" s="70"/>
      <c r="AI9" s="70"/>
      <c r="AJ9" s="70"/>
      <c r="AK9" s="70"/>
      <c r="AL9" s="70"/>
      <c r="AM9" s="70"/>
      <c r="AN9" s="70"/>
      <c r="AO9" s="89" t="s">
        <v>201</v>
      </c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1"/>
      <c r="BD9" s="92" t="s">
        <v>17</v>
      </c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4"/>
    </row>
    <row r="10" spans="1:81" ht="24.9" customHeight="1">
      <c r="A10" s="95" t="s">
        <v>18</v>
      </c>
      <c r="B10" s="96"/>
      <c r="C10" s="96"/>
      <c r="D10" s="96"/>
      <c r="E10" s="96"/>
      <c r="F10" s="97"/>
      <c r="G10" s="98">
        <v>300</v>
      </c>
      <c r="H10" s="99"/>
      <c r="I10" s="99"/>
      <c r="J10" s="99"/>
      <c r="K10" s="99"/>
      <c r="L10" s="99"/>
      <c r="M10" s="99"/>
      <c r="N10" s="99"/>
      <c r="O10" s="99"/>
      <c r="P10" s="100"/>
      <c r="Q10" s="40"/>
      <c r="R10" s="41" t="s">
        <v>13</v>
      </c>
      <c r="S10" s="42"/>
      <c r="T10" s="4" t="s">
        <v>14</v>
      </c>
      <c r="U10" s="2"/>
      <c r="V10" s="87" t="s">
        <v>19</v>
      </c>
      <c r="W10" s="87"/>
      <c r="X10" s="87"/>
      <c r="Y10" s="87"/>
      <c r="Z10" s="87"/>
      <c r="AA10" s="87"/>
      <c r="AB10" s="87"/>
      <c r="AC10" s="87"/>
      <c r="AD10" s="87"/>
      <c r="AE10" s="88"/>
      <c r="AF10" s="69" t="s">
        <v>20</v>
      </c>
      <c r="AG10" s="70"/>
      <c r="AH10" s="70"/>
      <c r="AI10" s="70"/>
      <c r="AJ10" s="70"/>
      <c r="AK10" s="70"/>
      <c r="AL10" s="70"/>
      <c r="AM10" s="70"/>
      <c r="AN10" s="70"/>
      <c r="AO10" s="101" t="s">
        <v>202</v>
      </c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3"/>
      <c r="BD10" s="104" t="s">
        <v>206</v>
      </c>
      <c r="BE10" s="105"/>
      <c r="BF10" s="2"/>
      <c r="BG10" s="106">
        <v>1897535.51</v>
      </c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7"/>
      <c r="CA10" s="54"/>
      <c r="CB10" s="54"/>
      <c r="CC10" s="54"/>
    </row>
    <row r="11" spans="1:81" ht="27" customHeight="1">
      <c r="A11" s="108" t="s">
        <v>22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10"/>
      <c r="L11" s="3"/>
      <c r="M11" s="4" t="s">
        <v>13</v>
      </c>
      <c r="N11" s="47" t="s">
        <v>200</v>
      </c>
      <c r="O11" s="4" t="s">
        <v>14</v>
      </c>
      <c r="P11" s="39"/>
      <c r="Q11" s="87" t="s">
        <v>23</v>
      </c>
      <c r="R11" s="87"/>
      <c r="S11" s="87"/>
      <c r="T11" s="87"/>
      <c r="U11" s="87"/>
      <c r="V11" s="87"/>
      <c r="W11" s="2"/>
      <c r="X11" s="41" t="s">
        <v>13</v>
      </c>
      <c r="Y11" s="39"/>
      <c r="Z11" s="4" t="s">
        <v>14</v>
      </c>
      <c r="AA11" s="39"/>
      <c r="AB11" s="87" t="s">
        <v>24</v>
      </c>
      <c r="AC11" s="87"/>
      <c r="AD11" s="87"/>
      <c r="AE11" s="87"/>
      <c r="AF11" s="87"/>
      <c r="AG11" s="87"/>
      <c r="AH11" s="87"/>
      <c r="AI11" s="39"/>
      <c r="AJ11" s="41" t="s">
        <v>13</v>
      </c>
      <c r="AK11" s="39"/>
      <c r="AL11" s="4" t="s">
        <v>14</v>
      </c>
      <c r="AM11" s="39"/>
      <c r="AN11" s="87" t="s">
        <v>25</v>
      </c>
      <c r="AO11" s="87"/>
      <c r="AP11" s="87"/>
      <c r="AQ11" s="87"/>
      <c r="AR11" s="87"/>
      <c r="AS11" s="87"/>
      <c r="AT11" s="39"/>
      <c r="AU11" s="41" t="s">
        <v>13</v>
      </c>
      <c r="AV11" s="39"/>
      <c r="AW11" s="4" t="s">
        <v>14</v>
      </c>
      <c r="AX11" s="39"/>
      <c r="AY11" s="111" t="s">
        <v>26</v>
      </c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3"/>
    </row>
    <row r="12" spans="1:81" ht="30" customHeight="1">
      <c r="A12" s="112" t="s">
        <v>27</v>
      </c>
      <c r="B12" s="113"/>
      <c r="C12" s="114"/>
      <c r="D12" s="115" t="s">
        <v>28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8"/>
      <c r="BD12" s="104" t="s">
        <v>206</v>
      </c>
      <c r="BE12" s="105"/>
      <c r="BF12" s="2"/>
      <c r="BG12" s="106">
        <f>+BG10</f>
        <v>1897535.51</v>
      </c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7"/>
    </row>
    <row r="13" spans="1:81" ht="20.100000000000001" customHeight="1">
      <c r="A13" s="112" t="s">
        <v>29</v>
      </c>
      <c r="B13" s="113"/>
      <c r="C13" s="114"/>
      <c r="D13" s="115" t="s">
        <v>30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43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</row>
    <row r="14" spans="1:81" ht="20.100000000000001" customHeight="1">
      <c r="A14" s="116"/>
      <c r="B14" s="117"/>
      <c r="C14" s="118"/>
      <c r="D14" s="119"/>
      <c r="E14" s="120"/>
      <c r="F14" s="121" t="s">
        <v>31</v>
      </c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3"/>
      <c r="X14" s="104" t="s">
        <v>206</v>
      </c>
      <c r="Y14" s="105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5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</row>
    <row r="15" spans="1:81" ht="20.100000000000001" customHeight="1">
      <c r="A15" s="126"/>
      <c r="B15" s="127"/>
      <c r="C15" s="128"/>
      <c r="D15" s="129"/>
      <c r="E15" s="130"/>
      <c r="F15" s="121" t="s">
        <v>32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3"/>
      <c r="X15" s="7"/>
      <c r="Y15" s="2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5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</row>
    <row r="16" spans="1:81" ht="20.100000000000001" customHeight="1">
      <c r="A16" s="126"/>
      <c r="B16" s="127"/>
      <c r="C16" s="128"/>
      <c r="D16" s="129"/>
      <c r="E16" s="130"/>
      <c r="F16" s="121" t="s">
        <v>33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3"/>
      <c r="X16" s="7"/>
      <c r="Y16" s="2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5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</row>
    <row r="17" spans="1:79" ht="20.100000000000001" customHeight="1">
      <c r="A17" s="126"/>
      <c r="B17" s="127"/>
      <c r="C17" s="128"/>
      <c r="D17" s="129"/>
      <c r="E17" s="130"/>
      <c r="F17" s="121" t="s">
        <v>34</v>
      </c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3"/>
      <c r="X17" s="7"/>
      <c r="Y17" s="2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5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</row>
    <row r="18" spans="1:79" ht="39.9" customHeight="1">
      <c r="A18" s="126"/>
      <c r="B18" s="127"/>
      <c r="C18" s="128"/>
      <c r="D18" s="37"/>
      <c r="E18" s="38"/>
      <c r="F18" s="79" t="s">
        <v>35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131"/>
      <c r="AP18" s="104" t="s">
        <v>206</v>
      </c>
      <c r="AQ18" s="105"/>
      <c r="AR18" s="132" t="s">
        <v>91</v>
      </c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3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</row>
    <row r="19" spans="1:79" ht="20.100000000000001" customHeight="1">
      <c r="A19" s="222">
        <v>3</v>
      </c>
      <c r="B19" s="223"/>
      <c r="C19" s="224"/>
      <c r="D19" s="222" t="s">
        <v>36</v>
      </c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4"/>
      <c r="AP19" s="214" t="s">
        <v>206</v>
      </c>
      <c r="AQ19" s="215"/>
      <c r="AR19" s="218" t="s">
        <v>91</v>
      </c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9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</row>
    <row r="20" spans="1:79" ht="20.100000000000001" customHeight="1">
      <c r="A20" s="225"/>
      <c r="B20" s="226"/>
      <c r="C20" s="227"/>
      <c r="D20" s="225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7"/>
      <c r="AP20" s="216"/>
      <c r="AQ20" s="217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1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</row>
    <row r="21" spans="1:79" ht="39.9" customHeight="1">
      <c r="A21" s="79" t="s">
        <v>37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131"/>
      <c r="BD21" s="104" t="s">
        <v>206</v>
      </c>
      <c r="BE21" s="105"/>
      <c r="BF21" s="2"/>
      <c r="BG21" s="134">
        <f>+BG12</f>
        <v>1897535.51</v>
      </c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5"/>
      <c r="CA21" s="51">
        <f>+BG21</f>
        <v>1897535.51</v>
      </c>
    </row>
    <row r="22" spans="1:79" ht="20.100000000000001" customHeight="1">
      <c r="A22" s="136" t="s">
        <v>38</v>
      </c>
      <c r="B22" s="137"/>
      <c r="C22" s="137"/>
      <c r="D22" s="137"/>
      <c r="E22" s="137"/>
      <c r="F22" s="137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9"/>
    </row>
    <row r="23" spans="1:79" ht="20.100000000000001" customHeight="1">
      <c r="A23" s="140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2"/>
    </row>
    <row r="24" spans="1:79" ht="50.1" customHeight="1">
      <c r="A24" s="146" t="s">
        <v>39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</row>
    <row r="25" spans="1:79" ht="18" customHeight="1">
      <c r="A25" s="147"/>
      <c r="B25" s="138"/>
      <c r="C25" s="139"/>
      <c r="D25" s="148" t="s">
        <v>40</v>
      </c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50"/>
      <c r="W25" s="206" t="s">
        <v>41</v>
      </c>
      <c r="X25" s="207"/>
      <c r="Y25" s="207"/>
      <c r="Z25" s="207"/>
      <c r="AA25" s="207"/>
      <c r="AB25" s="208"/>
      <c r="AC25" s="148" t="s">
        <v>42</v>
      </c>
      <c r="AD25" s="149"/>
      <c r="AE25" s="149"/>
      <c r="AF25" s="149"/>
      <c r="AG25" s="149"/>
      <c r="AH25" s="150"/>
      <c r="AI25" s="148" t="s">
        <v>43</v>
      </c>
      <c r="AJ25" s="149"/>
      <c r="AK25" s="149"/>
      <c r="AL25" s="149"/>
      <c r="AM25" s="149"/>
      <c r="AN25" s="149"/>
      <c r="AO25" s="149"/>
      <c r="AP25" s="149"/>
      <c r="AQ25" s="149"/>
      <c r="AR25" s="149"/>
      <c r="AS25" s="150"/>
      <c r="AT25" s="148" t="s">
        <v>44</v>
      </c>
      <c r="AU25" s="149"/>
      <c r="AV25" s="149"/>
      <c r="AW25" s="149"/>
      <c r="AX25" s="149"/>
      <c r="AY25" s="149"/>
      <c r="AZ25" s="149"/>
      <c r="BA25" s="149"/>
      <c r="BB25" s="149"/>
      <c r="BC25" s="149"/>
      <c r="BD25" s="150"/>
      <c r="BE25" s="148" t="s">
        <v>45</v>
      </c>
      <c r="BF25" s="149"/>
      <c r="BG25" s="149"/>
      <c r="BH25" s="149"/>
      <c r="BI25" s="149"/>
      <c r="BJ25" s="149"/>
      <c r="BK25" s="149"/>
      <c r="BL25" s="149"/>
      <c r="BM25" s="149"/>
      <c r="BN25" s="149"/>
      <c r="BO25" s="150"/>
      <c r="BP25" s="206" t="s">
        <v>46</v>
      </c>
      <c r="BQ25" s="207"/>
      <c r="BR25" s="207"/>
      <c r="BS25" s="207"/>
      <c r="BT25" s="207"/>
      <c r="BU25" s="207"/>
      <c r="BV25" s="207"/>
      <c r="BW25" s="207"/>
      <c r="BX25" s="207"/>
      <c r="BY25" s="207"/>
      <c r="BZ25" s="208"/>
    </row>
    <row r="26" spans="1:79" ht="18" customHeight="1">
      <c r="A26" s="140"/>
      <c r="B26" s="141"/>
      <c r="C26" s="142"/>
      <c r="D26" s="151" t="s">
        <v>47</v>
      </c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3"/>
      <c r="W26" s="209"/>
      <c r="X26" s="210"/>
      <c r="Y26" s="210"/>
      <c r="Z26" s="210"/>
      <c r="AA26" s="210"/>
      <c r="AB26" s="211"/>
      <c r="AC26" s="151" t="s">
        <v>48</v>
      </c>
      <c r="AD26" s="152"/>
      <c r="AE26" s="152"/>
      <c r="AF26" s="152"/>
      <c r="AG26" s="152"/>
      <c r="AH26" s="153"/>
      <c r="AI26" s="151" t="s">
        <v>49</v>
      </c>
      <c r="AJ26" s="152"/>
      <c r="AK26" s="152"/>
      <c r="AL26" s="152"/>
      <c r="AM26" s="152"/>
      <c r="AN26" s="152"/>
      <c r="AO26" s="152"/>
      <c r="AP26" s="152"/>
      <c r="AQ26" s="152"/>
      <c r="AR26" s="152"/>
      <c r="AS26" s="153"/>
      <c r="AT26" s="151" t="s">
        <v>50</v>
      </c>
      <c r="AU26" s="152"/>
      <c r="AV26" s="152"/>
      <c r="AW26" s="152"/>
      <c r="AX26" s="152"/>
      <c r="AY26" s="152"/>
      <c r="AZ26" s="152"/>
      <c r="BA26" s="152"/>
      <c r="BB26" s="152"/>
      <c r="BC26" s="152"/>
      <c r="BD26" s="153"/>
      <c r="BE26" s="151" t="s">
        <v>50</v>
      </c>
      <c r="BF26" s="152"/>
      <c r="BG26" s="152"/>
      <c r="BH26" s="152"/>
      <c r="BI26" s="152"/>
      <c r="BJ26" s="152"/>
      <c r="BK26" s="152"/>
      <c r="BL26" s="152"/>
      <c r="BM26" s="152"/>
      <c r="BN26" s="152"/>
      <c r="BO26" s="153"/>
      <c r="BP26" s="209"/>
      <c r="BQ26" s="210"/>
      <c r="BR26" s="210"/>
      <c r="BS26" s="210"/>
      <c r="BT26" s="210"/>
      <c r="BU26" s="210"/>
      <c r="BV26" s="210"/>
      <c r="BW26" s="210"/>
      <c r="BX26" s="210"/>
      <c r="BY26" s="210"/>
      <c r="BZ26" s="211"/>
    </row>
    <row r="27" spans="1:79" ht="20.100000000000001" customHeight="1">
      <c r="A27" s="154"/>
      <c r="B27" s="154"/>
      <c r="C27" s="154"/>
      <c r="D27" s="155" t="s">
        <v>203</v>
      </c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7" t="s">
        <v>205</v>
      </c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62"/>
      <c r="AJ27" s="160"/>
      <c r="AK27" s="160"/>
      <c r="AL27" s="160"/>
      <c r="AM27" s="160"/>
      <c r="AN27" s="160"/>
      <c r="AO27" s="160"/>
      <c r="AP27" s="160"/>
      <c r="AQ27" s="160"/>
      <c r="AR27" s="160"/>
      <c r="AS27" s="161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43"/>
      <c r="BQ27" s="124"/>
      <c r="BR27" s="124"/>
      <c r="BS27" s="124"/>
      <c r="BT27" s="124"/>
      <c r="BU27" s="124"/>
      <c r="BV27" s="124"/>
      <c r="BW27" s="124"/>
      <c r="BX27" s="124"/>
      <c r="BY27" s="124"/>
      <c r="BZ27" s="125"/>
    </row>
    <row r="28" spans="1:79" ht="20.100000000000001" customHeight="1">
      <c r="A28" s="154"/>
      <c r="B28" s="154"/>
      <c r="C28" s="154"/>
      <c r="D28" s="155" t="s">
        <v>204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4"/>
      <c r="X28" s="154"/>
      <c r="Y28" s="154"/>
      <c r="Z28" s="154"/>
      <c r="AA28" s="154"/>
      <c r="AB28" s="154"/>
      <c r="AC28" s="159">
        <v>32627</v>
      </c>
      <c r="AD28" s="154"/>
      <c r="AE28" s="154"/>
      <c r="AF28" s="154"/>
      <c r="AG28" s="154"/>
      <c r="AH28" s="154"/>
      <c r="AI28" s="163" t="s">
        <v>206</v>
      </c>
      <c r="AJ28" s="160"/>
      <c r="AK28" s="160">
        <v>288611.12</v>
      </c>
      <c r="AL28" s="160"/>
      <c r="AM28" s="160"/>
      <c r="AN28" s="160"/>
      <c r="AO28" s="160"/>
      <c r="AP28" s="160"/>
      <c r="AQ28" s="160"/>
      <c r="AR28" s="160"/>
      <c r="AS28" s="161"/>
      <c r="AT28" s="157" t="s">
        <v>91</v>
      </c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7" t="s">
        <v>91</v>
      </c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43" t="str">
        <f>+AI28</f>
        <v>₱</v>
      </c>
      <c r="BQ28" s="124"/>
      <c r="BR28" s="144">
        <f>+AK28</f>
        <v>288611.12</v>
      </c>
      <c r="BS28" s="144"/>
      <c r="BT28" s="144"/>
      <c r="BU28" s="144"/>
      <c r="BV28" s="144"/>
      <c r="BW28" s="144"/>
      <c r="BX28" s="144"/>
      <c r="BY28" s="144"/>
      <c r="BZ28" s="145"/>
    </row>
    <row r="29" spans="1:79" ht="20.100000000000001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62"/>
      <c r="AJ29" s="160"/>
      <c r="AK29" s="160"/>
      <c r="AL29" s="160"/>
      <c r="AM29" s="160"/>
      <c r="AN29" s="160"/>
      <c r="AO29" s="160"/>
      <c r="AP29" s="160"/>
      <c r="AQ29" s="160"/>
      <c r="AR29" s="160"/>
      <c r="AS29" s="161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43"/>
      <c r="BQ29" s="124"/>
      <c r="BR29" s="124"/>
      <c r="BS29" s="124"/>
      <c r="BT29" s="124"/>
      <c r="BU29" s="124"/>
      <c r="BV29" s="124"/>
      <c r="BW29" s="124"/>
      <c r="BX29" s="124"/>
      <c r="BY29" s="124"/>
      <c r="BZ29" s="125"/>
    </row>
    <row r="30" spans="1:79" ht="20.100000000000001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62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43"/>
      <c r="BQ30" s="124"/>
      <c r="BR30" s="124"/>
      <c r="BS30" s="124"/>
      <c r="BT30" s="124"/>
      <c r="BU30" s="124"/>
      <c r="BV30" s="124"/>
      <c r="BW30" s="124"/>
      <c r="BX30" s="124"/>
      <c r="BY30" s="124"/>
      <c r="BZ30" s="125"/>
    </row>
    <row r="31" spans="1:79" ht="20.100000000000001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62"/>
      <c r="AJ31" s="160"/>
      <c r="AK31" s="160"/>
      <c r="AL31" s="160"/>
      <c r="AM31" s="160"/>
      <c r="AN31" s="160"/>
      <c r="AO31" s="160"/>
      <c r="AP31" s="160"/>
      <c r="AQ31" s="160"/>
      <c r="AR31" s="160"/>
      <c r="AS31" s="161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43"/>
      <c r="BQ31" s="124"/>
      <c r="BR31" s="124"/>
      <c r="BS31" s="124"/>
      <c r="BT31" s="124"/>
      <c r="BU31" s="124"/>
      <c r="BV31" s="124"/>
      <c r="BW31" s="124"/>
      <c r="BX31" s="124"/>
      <c r="BY31" s="124"/>
      <c r="BZ31" s="125"/>
    </row>
    <row r="32" spans="1:79" ht="39.9" customHeight="1">
      <c r="A32" s="168" t="s">
        <v>51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70"/>
      <c r="BE32" s="166" t="str">
        <f>+BP28</f>
        <v>₱</v>
      </c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4">
        <f>+BR28</f>
        <v>288611.12</v>
      </c>
      <c r="BS32" s="164"/>
      <c r="BT32" s="164"/>
      <c r="BU32" s="164"/>
      <c r="BV32" s="164"/>
      <c r="BW32" s="164"/>
      <c r="BX32" s="164"/>
      <c r="BY32" s="164"/>
      <c r="BZ32" s="165"/>
      <c r="CA32" s="51">
        <f>+BR32</f>
        <v>288611.12</v>
      </c>
    </row>
    <row r="33" spans="1:79" ht="50.1" customHeight="1">
      <c r="A33" s="171" t="s">
        <v>52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</row>
    <row r="34" spans="1:79" ht="18" customHeight="1">
      <c r="A34" s="147"/>
      <c r="B34" s="138"/>
      <c r="C34" s="139"/>
      <c r="D34" s="148" t="s">
        <v>53</v>
      </c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50"/>
      <c r="W34" s="206" t="s">
        <v>41</v>
      </c>
      <c r="X34" s="207"/>
      <c r="Y34" s="207"/>
      <c r="Z34" s="207"/>
      <c r="AA34" s="207"/>
      <c r="AB34" s="208"/>
      <c r="AC34" s="148" t="s">
        <v>42</v>
      </c>
      <c r="AD34" s="149"/>
      <c r="AE34" s="149"/>
      <c r="AF34" s="149"/>
      <c r="AG34" s="149"/>
      <c r="AH34" s="150"/>
      <c r="AI34" s="148" t="s">
        <v>43</v>
      </c>
      <c r="AJ34" s="149"/>
      <c r="AK34" s="149"/>
      <c r="AL34" s="149"/>
      <c r="AM34" s="149"/>
      <c r="AN34" s="149"/>
      <c r="AO34" s="149"/>
      <c r="AP34" s="149"/>
      <c r="AQ34" s="149"/>
      <c r="AR34" s="149"/>
      <c r="AS34" s="150"/>
      <c r="AT34" s="148" t="s">
        <v>44</v>
      </c>
      <c r="AU34" s="149"/>
      <c r="AV34" s="149"/>
      <c r="AW34" s="149"/>
      <c r="AX34" s="149"/>
      <c r="AY34" s="149"/>
      <c r="AZ34" s="149"/>
      <c r="BA34" s="149"/>
      <c r="BB34" s="149"/>
      <c r="BC34" s="149"/>
      <c r="BD34" s="150"/>
      <c r="BE34" s="148" t="s">
        <v>45</v>
      </c>
      <c r="BF34" s="149"/>
      <c r="BG34" s="149"/>
      <c r="BH34" s="149"/>
      <c r="BI34" s="149"/>
      <c r="BJ34" s="149"/>
      <c r="BK34" s="149"/>
      <c r="BL34" s="149"/>
      <c r="BM34" s="149"/>
      <c r="BN34" s="149"/>
      <c r="BO34" s="150"/>
      <c r="BP34" s="212" t="s">
        <v>46</v>
      </c>
      <c r="BQ34" s="213"/>
      <c r="BR34" s="213"/>
      <c r="BS34" s="213"/>
      <c r="BT34" s="213"/>
      <c r="BU34" s="213"/>
      <c r="BV34" s="213"/>
      <c r="BW34" s="213"/>
      <c r="BX34" s="213"/>
      <c r="BY34" s="213"/>
      <c r="BZ34" s="213"/>
    </row>
    <row r="35" spans="1:79" ht="18" customHeight="1">
      <c r="A35" s="140"/>
      <c r="B35" s="141"/>
      <c r="C35" s="142"/>
      <c r="D35" s="151" t="s">
        <v>54</v>
      </c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3"/>
      <c r="W35" s="209"/>
      <c r="X35" s="210"/>
      <c r="Y35" s="210"/>
      <c r="Z35" s="210"/>
      <c r="AA35" s="210"/>
      <c r="AB35" s="211"/>
      <c r="AC35" s="151" t="s">
        <v>48</v>
      </c>
      <c r="AD35" s="152"/>
      <c r="AE35" s="152"/>
      <c r="AF35" s="152"/>
      <c r="AG35" s="152"/>
      <c r="AH35" s="153"/>
      <c r="AI35" s="151" t="s">
        <v>49</v>
      </c>
      <c r="AJ35" s="152"/>
      <c r="AK35" s="152"/>
      <c r="AL35" s="152"/>
      <c r="AM35" s="152"/>
      <c r="AN35" s="152"/>
      <c r="AO35" s="152"/>
      <c r="AP35" s="152"/>
      <c r="AQ35" s="152"/>
      <c r="AR35" s="152"/>
      <c r="AS35" s="153"/>
      <c r="AT35" s="151" t="s">
        <v>50</v>
      </c>
      <c r="AU35" s="152"/>
      <c r="AV35" s="152"/>
      <c r="AW35" s="152"/>
      <c r="AX35" s="152"/>
      <c r="AY35" s="152"/>
      <c r="AZ35" s="152"/>
      <c r="BA35" s="152"/>
      <c r="BB35" s="152"/>
      <c r="BC35" s="152"/>
      <c r="BD35" s="153"/>
      <c r="BE35" s="151" t="s">
        <v>50</v>
      </c>
      <c r="BF35" s="152"/>
      <c r="BG35" s="152"/>
      <c r="BH35" s="152"/>
      <c r="BI35" s="152"/>
      <c r="BJ35" s="152"/>
      <c r="BK35" s="152"/>
      <c r="BL35" s="152"/>
      <c r="BM35" s="152"/>
      <c r="BN35" s="152"/>
      <c r="BO35" s="153"/>
      <c r="BP35" s="212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</row>
    <row r="36" spans="1:79" ht="20.100000000000001" customHeight="1">
      <c r="A36" s="172"/>
      <c r="B36" s="172"/>
      <c r="C36" s="172"/>
      <c r="D36" s="173" t="s">
        <v>207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5" t="s">
        <v>209</v>
      </c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62"/>
      <c r="AJ36" s="160"/>
      <c r="AK36" s="160"/>
      <c r="AL36" s="160"/>
      <c r="AM36" s="160"/>
      <c r="AN36" s="160"/>
      <c r="AO36" s="160"/>
      <c r="AP36" s="160"/>
      <c r="AQ36" s="160"/>
      <c r="AR36" s="160"/>
      <c r="AS36" s="161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7"/>
      <c r="BQ36" s="177"/>
      <c r="BR36" s="177"/>
      <c r="BS36" s="177"/>
      <c r="BT36" s="177"/>
      <c r="BU36" s="177"/>
      <c r="BV36" s="177"/>
      <c r="BW36" s="177"/>
      <c r="BX36" s="177"/>
      <c r="BY36" s="177"/>
      <c r="BZ36" s="177"/>
    </row>
    <row r="37" spans="1:79" ht="20.100000000000001" customHeight="1">
      <c r="A37" s="154"/>
      <c r="B37" s="154"/>
      <c r="C37" s="154"/>
      <c r="D37" s="155" t="s">
        <v>208</v>
      </c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7" t="s">
        <v>210</v>
      </c>
      <c r="X37" s="154"/>
      <c r="Y37" s="154"/>
      <c r="Z37" s="154"/>
      <c r="AA37" s="154"/>
      <c r="AB37" s="154"/>
      <c r="AC37" s="159">
        <v>32627</v>
      </c>
      <c r="AD37" s="154"/>
      <c r="AE37" s="154"/>
      <c r="AF37" s="154"/>
      <c r="AG37" s="154"/>
      <c r="AH37" s="154"/>
      <c r="AI37" s="163" t="s">
        <v>206</v>
      </c>
      <c r="AJ37" s="160"/>
      <c r="AK37" s="160">
        <v>125874.82</v>
      </c>
      <c r="AL37" s="160"/>
      <c r="AM37" s="160"/>
      <c r="AN37" s="160"/>
      <c r="AO37" s="160"/>
      <c r="AP37" s="160"/>
      <c r="AQ37" s="160"/>
      <c r="AR37" s="160"/>
      <c r="AS37" s="161"/>
      <c r="AT37" s="157" t="s">
        <v>91</v>
      </c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7" t="s">
        <v>91</v>
      </c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43" t="str">
        <f>+AI37</f>
        <v>₱</v>
      </c>
      <c r="BQ37" s="124"/>
      <c r="BR37" s="144">
        <f>+AK37</f>
        <v>125874.82</v>
      </c>
      <c r="BS37" s="144"/>
      <c r="BT37" s="144"/>
      <c r="BU37" s="144"/>
      <c r="BV37" s="144"/>
      <c r="BW37" s="144"/>
      <c r="BX37" s="144"/>
      <c r="BY37" s="144"/>
      <c r="BZ37" s="145"/>
    </row>
    <row r="38" spans="1:79" ht="20.100000000000001" customHeight="1">
      <c r="A38" s="154"/>
      <c r="B38" s="154"/>
      <c r="C38" s="154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62"/>
      <c r="AJ38" s="160"/>
      <c r="AK38" s="160"/>
      <c r="AL38" s="160"/>
      <c r="AM38" s="160"/>
      <c r="AN38" s="160"/>
      <c r="AO38" s="160"/>
      <c r="AP38" s="160"/>
      <c r="AQ38" s="160"/>
      <c r="AR38" s="160"/>
      <c r="AS38" s="161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77"/>
      <c r="BQ38" s="177"/>
      <c r="BR38" s="177"/>
      <c r="BS38" s="177"/>
      <c r="BT38" s="177"/>
      <c r="BU38" s="177"/>
      <c r="BV38" s="177"/>
      <c r="BW38" s="177"/>
      <c r="BX38" s="177"/>
      <c r="BY38" s="177"/>
      <c r="BZ38" s="177"/>
    </row>
    <row r="39" spans="1:79" ht="39.9" customHeight="1">
      <c r="A39" s="178" t="s">
        <v>55</v>
      </c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80"/>
      <c r="BE39" s="166" t="str">
        <f>+BE32</f>
        <v>₱</v>
      </c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81">
        <f>+BR37</f>
        <v>125874.82</v>
      </c>
      <c r="BS39" s="181"/>
      <c r="BT39" s="181"/>
      <c r="BU39" s="181"/>
      <c r="BV39" s="181"/>
      <c r="BW39" s="181"/>
      <c r="BX39" s="181"/>
      <c r="BY39" s="181"/>
      <c r="BZ39" s="182"/>
      <c r="CA39" s="51">
        <f>+BR39</f>
        <v>125874.82</v>
      </c>
    </row>
    <row r="40" spans="1:79" ht="50.1" customHeight="1">
      <c r="A40" s="146" t="s">
        <v>56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</row>
    <row r="41" spans="1:79" ht="18" customHeight="1">
      <c r="A41" s="147"/>
      <c r="B41" s="138"/>
      <c r="C41" s="139"/>
      <c r="D41" s="206" t="s">
        <v>57</v>
      </c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8"/>
      <c r="W41" s="206" t="s">
        <v>41</v>
      </c>
      <c r="X41" s="207"/>
      <c r="Y41" s="207"/>
      <c r="Z41" s="207"/>
      <c r="AA41" s="207"/>
      <c r="AB41" s="208"/>
      <c r="AC41" s="206" t="s">
        <v>42</v>
      </c>
      <c r="AD41" s="207"/>
      <c r="AE41" s="207"/>
      <c r="AF41" s="207"/>
      <c r="AG41" s="207"/>
      <c r="AH41" s="208"/>
      <c r="AI41" s="148" t="s">
        <v>43</v>
      </c>
      <c r="AJ41" s="149"/>
      <c r="AK41" s="149"/>
      <c r="AL41" s="149"/>
      <c r="AM41" s="149"/>
      <c r="AN41" s="149"/>
      <c r="AO41" s="149"/>
      <c r="AP41" s="149"/>
      <c r="AQ41" s="149"/>
      <c r="AR41" s="149"/>
      <c r="AS41" s="150"/>
      <c r="AT41" s="148" t="s">
        <v>44</v>
      </c>
      <c r="AU41" s="149"/>
      <c r="AV41" s="149"/>
      <c r="AW41" s="149"/>
      <c r="AX41" s="149"/>
      <c r="AY41" s="149"/>
      <c r="AZ41" s="149"/>
      <c r="BA41" s="149"/>
      <c r="BB41" s="149"/>
      <c r="BC41" s="149"/>
      <c r="BD41" s="150"/>
      <c r="BE41" s="148" t="s">
        <v>45</v>
      </c>
      <c r="BF41" s="149"/>
      <c r="BG41" s="149"/>
      <c r="BH41" s="149"/>
      <c r="BI41" s="149"/>
      <c r="BJ41" s="149"/>
      <c r="BK41" s="149"/>
      <c r="BL41" s="149"/>
      <c r="BM41" s="149"/>
      <c r="BN41" s="149"/>
      <c r="BO41" s="150"/>
      <c r="BP41" s="206" t="s">
        <v>46</v>
      </c>
      <c r="BQ41" s="207"/>
      <c r="BR41" s="207"/>
      <c r="BS41" s="207"/>
      <c r="BT41" s="207"/>
      <c r="BU41" s="207"/>
      <c r="BV41" s="207"/>
      <c r="BW41" s="207"/>
      <c r="BX41" s="207"/>
      <c r="BY41" s="207"/>
      <c r="BZ41" s="208"/>
    </row>
    <row r="42" spans="1:79" ht="18" customHeight="1">
      <c r="A42" s="140"/>
      <c r="B42" s="141"/>
      <c r="C42" s="142"/>
      <c r="D42" s="209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1"/>
      <c r="W42" s="209"/>
      <c r="X42" s="210"/>
      <c r="Y42" s="210"/>
      <c r="Z42" s="210"/>
      <c r="AA42" s="210"/>
      <c r="AB42" s="211"/>
      <c r="AC42" s="209"/>
      <c r="AD42" s="210"/>
      <c r="AE42" s="210"/>
      <c r="AF42" s="210"/>
      <c r="AG42" s="210"/>
      <c r="AH42" s="211"/>
      <c r="AI42" s="151" t="s">
        <v>49</v>
      </c>
      <c r="AJ42" s="152"/>
      <c r="AK42" s="152"/>
      <c r="AL42" s="152"/>
      <c r="AM42" s="152"/>
      <c r="AN42" s="152"/>
      <c r="AO42" s="152"/>
      <c r="AP42" s="152"/>
      <c r="AQ42" s="152"/>
      <c r="AR42" s="152"/>
      <c r="AS42" s="153"/>
      <c r="AT42" s="151" t="s">
        <v>50</v>
      </c>
      <c r="AU42" s="152"/>
      <c r="AV42" s="152"/>
      <c r="AW42" s="152"/>
      <c r="AX42" s="152"/>
      <c r="AY42" s="152"/>
      <c r="AZ42" s="152"/>
      <c r="BA42" s="152"/>
      <c r="BB42" s="152"/>
      <c r="BC42" s="152"/>
      <c r="BD42" s="153"/>
      <c r="BE42" s="151" t="s">
        <v>50</v>
      </c>
      <c r="BF42" s="152"/>
      <c r="BG42" s="152"/>
      <c r="BH42" s="152"/>
      <c r="BI42" s="152"/>
      <c r="BJ42" s="152"/>
      <c r="BK42" s="152"/>
      <c r="BL42" s="152"/>
      <c r="BM42" s="152"/>
      <c r="BN42" s="152"/>
      <c r="BO42" s="153"/>
      <c r="BP42" s="209"/>
      <c r="BQ42" s="210"/>
      <c r="BR42" s="210"/>
      <c r="BS42" s="210"/>
      <c r="BT42" s="210"/>
      <c r="BU42" s="210"/>
      <c r="BV42" s="210"/>
      <c r="BW42" s="210"/>
      <c r="BX42" s="210"/>
      <c r="BY42" s="210"/>
      <c r="BZ42" s="211"/>
    </row>
    <row r="43" spans="1:79" ht="20.100000000000001" customHeight="1">
      <c r="A43" s="154"/>
      <c r="B43" s="154"/>
      <c r="C43" s="154"/>
      <c r="D43" s="228" t="s">
        <v>211</v>
      </c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157" t="s">
        <v>213</v>
      </c>
      <c r="X43" s="154"/>
      <c r="Y43" s="154"/>
      <c r="Z43" s="154"/>
      <c r="AA43" s="154"/>
      <c r="AB43" s="154"/>
      <c r="AC43" s="230">
        <v>32627</v>
      </c>
      <c r="AD43" s="154"/>
      <c r="AE43" s="154"/>
      <c r="AF43" s="154"/>
      <c r="AG43" s="154"/>
      <c r="AH43" s="154"/>
      <c r="AI43" s="163" t="s">
        <v>206</v>
      </c>
      <c r="AJ43" s="160"/>
      <c r="AK43" s="160">
        <v>114267.69</v>
      </c>
      <c r="AL43" s="160"/>
      <c r="AM43" s="160"/>
      <c r="AN43" s="160"/>
      <c r="AO43" s="160"/>
      <c r="AP43" s="160"/>
      <c r="AQ43" s="160"/>
      <c r="AR43" s="160"/>
      <c r="AS43" s="161"/>
      <c r="AT43" s="231" t="s">
        <v>91</v>
      </c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231" t="s">
        <v>91</v>
      </c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43" t="str">
        <f t="shared" ref="BP43:BP44" si="0">+AI43</f>
        <v>₱</v>
      </c>
      <c r="BQ43" s="124"/>
      <c r="BR43" s="144">
        <f t="shared" ref="BR43:BR44" si="1">+AK43</f>
        <v>114267.69</v>
      </c>
      <c r="BS43" s="144"/>
      <c r="BT43" s="144"/>
      <c r="BU43" s="144"/>
      <c r="BV43" s="144"/>
      <c r="BW43" s="144"/>
      <c r="BX43" s="144"/>
      <c r="BY43" s="144"/>
      <c r="BZ43" s="145"/>
    </row>
    <row r="44" spans="1:79" ht="20.100000000000001" customHeight="1">
      <c r="A44" s="154"/>
      <c r="B44" s="154"/>
      <c r="C44" s="154"/>
      <c r="D44" s="155" t="s">
        <v>212</v>
      </c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4"/>
      <c r="X44" s="154"/>
      <c r="Y44" s="154"/>
      <c r="Z44" s="154"/>
      <c r="AA44" s="154"/>
      <c r="AB44" s="154"/>
      <c r="AC44" s="230">
        <v>32627</v>
      </c>
      <c r="AD44" s="154"/>
      <c r="AE44" s="154"/>
      <c r="AF44" s="154"/>
      <c r="AG44" s="154"/>
      <c r="AH44" s="154"/>
      <c r="AI44" s="163" t="s">
        <v>206</v>
      </c>
      <c r="AJ44" s="160"/>
      <c r="AK44" s="160">
        <v>12004.8</v>
      </c>
      <c r="AL44" s="160"/>
      <c r="AM44" s="160"/>
      <c r="AN44" s="160"/>
      <c r="AO44" s="160"/>
      <c r="AP44" s="160"/>
      <c r="AQ44" s="160"/>
      <c r="AR44" s="160"/>
      <c r="AS44" s="161"/>
      <c r="AT44" s="157" t="s">
        <v>91</v>
      </c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7" t="s">
        <v>91</v>
      </c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43" t="str">
        <f t="shared" si="0"/>
        <v>₱</v>
      </c>
      <c r="BQ44" s="124"/>
      <c r="BR44" s="144">
        <f t="shared" si="1"/>
        <v>12004.8</v>
      </c>
      <c r="BS44" s="144"/>
      <c r="BT44" s="144"/>
      <c r="BU44" s="144"/>
      <c r="BV44" s="144"/>
      <c r="BW44" s="144"/>
      <c r="BX44" s="144"/>
      <c r="BY44" s="144"/>
      <c r="BZ44" s="145"/>
    </row>
    <row r="45" spans="1:79" ht="20.100000000000001" customHeight="1">
      <c r="A45" s="154"/>
      <c r="B45" s="154"/>
      <c r="C45" s="154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63"/>
      <c r="AJ45" s="160"/>
      <c r="AK45" s="160"/>
      <c r="AL45" s="160"/>
      <c r="AM45" s="160"/>
      <c r="AN45" s="160"/>
      <c r="AO45" s="160"/>
      <c r="AP45" s="160"/>
      <c r="AQ45" s="160"/>
      <c r="AR45" s="160"/>
      <c r="AS45" s="161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43"/>
      <c r="BQ45" s="124"/>
      <c r="BR45" s="144"/>
      <c r="BS45" s="144"/>
      <c r="BT45" s="144"/>
      <c r="BU45" s="144"/>
      <c r="BV45" s="144"/>
      <c r="BW45" s="144"/>
      <c r="BX45" s="144"/>
      <c r="BY45" s="144"/>
      <c r="BZ45" s="145"/>
    </row>
    <row r="46" spans="1:79" ht="39.9" customHeight="1">
      <c r="A46" s="178" t="s">
        <v>58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  <c r="AZ46" s="179"/>
      <c r="BA46" s="179"/>
      <c r="BB46" s="179"/>
      <c r="BC46" s="179"/>
      <c r="BD46" s="180"/>
      <c r="BE46" s="166" t="str">
        <f>+BE39</f>
        <v>₱</v>
      </c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81">
        <f>+BR43+BR44+BR45</f>
        <v>126272.49</v>
      </c>
      <c r="BS46" s="181"/>
      <c r="BT46" s="181"/>
      <c r="BU46" s="181"/>
      <c r="BV46" s="181"/>
      <c r="BW46" s="181"/>
      <c r="BX46" s="181"/>
      <c r="BY46" s="181"/>
      <c r="BZ46" s="182"/>
      <c r="CA46" s="51">
        <f>+BR46</f>
        <v>126272.49</v>
      </c>
    </row>
    <row r="47" spans="1:79" ht="20.10000000000000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9" ht="39.9" customHeight="1">
      <c r="A48" s="183" t="s">
        <v>59</v>
      </c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5"/>
      <c r="BE48" s="104" t="s">
        <v>206</v>
      </c>
      <c r="BF48" s="105"/>
      <c r="BG48" s="2"/>
      <c r="BH48" s="186">
        <f>+BG21+BR32+BR39+BR46</f>
        <v>2438293.94</v>
      </c>
      <c r="BI48" s="187"/>
      <c r="BJ48" s="187"/>
      <c r="BK48" s="187"/>
      <c r="BL48" s="187"/>
      <c r="BM48" s="187"/>
      <c r="BN48" s="187"/>
      <c r="BO48" s="187"/>
      <c r="BP48" s="187"/>
      <c r="BQ48" s="187"/>
      <c r="BR48" s="187"/>
      <c r="BS48" s="187"/>
      <c r="BT48" s="187"/>
      <c r="BU48" s="187"/>
      <c r="BV48" s="187"/>
      <c r="BW48" s="187"/>
      <c r="BX48" s="187"/>
      <c r="BY48" s="187"/>
      <c r="BZ48" s="188"/>
      <c r="CA48" s="51">
        <f>+BH48</f>
        <v>2438293.94</v>
      </c>
    </row>
    <row r="49" spans="1:78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89" t="s">
        <v>60</v>
      </c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"/>
    </row>
  </sheetData>
  <mergeCells count="238">
    <mergeCell ref="BE46:BQ46"/>
    <mergeCell ref="BR46:BZ46"/>
    <mergeCell ref="AK44:AS44"/>
    <mergeCell ref="AI45:AJ45"/>
    <mergeCell ref="AK45:AS45"/>
    <mergeCell ref="BP43:BQ43"/>
    <mergeCell ref="BR43:BZ43"/>
    <mergeCell ref="BP44:BQ44"/>
    <mergeCell ref="BR44:BZ44"/>
    <mergeCell ref="BP45:BQ45"/>
    <mergeCell ref="BR45:BZ45"/>
    <mergeCell ref="BE45:BO45"/>
    <mergeCell ref="A46:BD46"/>
    <mergeCell ref="A43:C43"/>
    <mergeCell ref="D43:V43"/>
    <mergeCell ref="W43:AB43"/>
    <mergeCell ref="AC43:AH43"/>
    <mergeCell ref="AT43:BD43"/>
    <mergeCell ref="BE43:BO43"/>
    <mergeCell ref="A44:C44"/>
    <mergeCell ref="D44:V44"/>
    <mergeCell ref="W44:AB44"/>
    <mergeCell ref="AC44:AH44"/>
    <mergeCell ref="AT44:BD44"/>
    <mergeCell ref="A48:BD48"/>
    <mergeCell ref="BE48:BF48"/>
    <mergeCell ref="BH48:BZ48"/>
    <mergeCell ref="BH49:BY49"/>
    <mergeCell ref="F5:Z6"/>
    <mergeCell ref="AF5:AZ6"/>
    <mergeCell ref="A2:H3"/>
    <mergeCell ref="BP25:BZ26"/>
    <mergeCell ref="W25:AB26"/>
    <mergeCell ref="W34:AB35"/>
    <mergeCell ref="BP34:BZ35"/>
    <mergeCell ref="AP19:AQ20"/>
    <mergeCell ref="AR19:BC20"/>
    <mergeCell ref="D41:V42"/>
    <mergeCell ref="W41:AB42"/>
    <mergeCell ref="AC41:AH42"/>
    <mergeCell ref="D19:AO20"/>
    <mergeCell ref="A19:C20"/>
    <mergeCell ref="BP41:BZ42"/>
    <mergeCell ref="A45:C45"/>
    <mergeCell ref="D45:V45"/>
    <mergeCell ref="W45:AB45"/>
    <mergeCell ref="AC45:AH45"/>
    <mergeCell ref="AT45:BD45"/>
    <mergeCell ref="BE44:BO44"/>
    <mergeCell ref="AI43:AJ43"/>
    <mergeCell ref="AK43:AS43"/>
    <mergeCell ref="AI44:AJ44"/>
    <mergeCell ref="A40:BZ40"/>
    <mergeCell ref="A41:C41"/>
    <mergeCell ref="AI41:AS41"/>
    <mergeCell ref="AT41:BD41"/>
    <mergeCell ref="BE41:BO41"/>
    <mergeCell ref="A42:C42"/>
    <mergeCell ref="AI42:AS42"/>
    <mergeCell ref="AT42:BD42"/>
    <mergeCell ref="BE42:BO42"/>
    <mergeCell ref="A38:C38"/>
    <mergeCell ref="D38:V38"/>
    <mergeCell ref="W38:AB38"/>
    <mergeCell ref="AC38:AH38"/>
    <mergeCell ref="AT38:BD38"/>
    <mergeCell ref="BE38:BO38"/>
    <mergeCell ref="BP38:BZ38"/>
    <mergeCell ref="A39:BD39"/>
    <mergeCell ref="AI38:AJ38"/>
    <mergeCell ref="AK38:AS38"/>
    <mergeCell ref="BE39:BQ39"/>
    <mergeCell ref="BR39:BZ39"/>
    <mergeCell ref="A36:C36"/>
    <mergeCell ref="D36:V36"/>
    <mergeCell ref="W36:AB36"/>
    <mergeCell ref="AC36:AH36"/>
    <mergeCell ref="AT36:BD36"/>
    <mergeCell ref="BE36:BO36"/>
    <mergeCell ref="BP36:BZ36"/>
    <mergeCell ref="A37:C37"/>
    <mergeCell ref="D37:V37"/>
    <mergeCell ref="W37:AB37"/>
    <mergeCell ref="AC37:AH37"/>
    <mergeCell ref="AT37:BD37"/>
    <mergeCell ref="BE37:BO37"/>
    <mergeCell ref="AI36:AJ36"/>
    <mergeCell ref="AK36:AS36"/>
    <mergeCell ref="AI37:AJ37"/>
    <mergeCell ref="AK37:AS37"/>
    <mergeCell ref="BP37:BQ37"/>
    <mergeCell ref="BR37:BZ37"/>
    <mergeCell ref="A33:BZ33"/>
    <mergeCell ref="A34:C34"/>
    <mergeCell ref="D34:V34"/>
    <mergeCell ref="AC34:AH34"/>
    <mergeCell ref="AI34:AS34"/>
    <mergeCell ref="AT34:BD34"/>
    <mergeCell ref="BE34:BO34"/>
    <mergeCell ref="A35:C35"/>
    <mergeCell ref="D35:V35"/>
    <mergeCell ref="AC35:AH35"/>
    <mergeCell ref="AI35:AS35"/>
    <mergeCell ref="AT35:BD35"/>
    <mergeCell ref="BE35:BO35"/>
    <mergeCell ref="A31:C31"/>
    <mergeCell ref="D31:V31"/>
    <mergeCell ref="W31:AB31"/>
    <mergeCell ref="AC31:AH31"/>
    <mergeCell ref="AT31:BD31"/>
    <mergeCell ref="BE31:BO31"/>
    <mergeCell ref="A32:BD32"/>
    <mergeCell ref="AI31:AJ31"/>
    <mergeCell ref="AK31:AS31"/>
    <mergeCell ref="BP31:BQ31"/>
    <mergeCell ref="BR31:BZ31"/>
    <mergeCell ref="BR32:BZ32"/>
    <mergeCell ref="BE32:BQ32"/>
    <mergeCell ref="A29:C29"/>
    <mergeCell ref="D29:V29"/>
    <mergeCell ref="W29:AB29"/>
    <mergeCell ref="AC29:AH29"/>
    <mergeCell ref="AT29:BD29"/>
    <mergeCell ref="BE29:BO29"/>
    <mergeCell ref="A30:C30"/>
    <mergeCell ref="D30:V30"/>
    <mergeCell ref="W30:AB30"/>
    <mergeCell ref="AC30:AH30"/>
    <mergeCell ref="AT30:BD30"/>
    <mergeCell ref="BE30:BO30"/>
    <mergeCell ref="AI29:AJ29"/>
    <mergeCell ref="AK29:AS29"/>
    <mergeCell ref="AI30:AJ30"/>
    <mergeCell ref="AK30:AS30"/>
    <mergeCell ref="BP29:BQ29"/>
    <mergeCell ref="BR29:BZ29"/>
    <mergeCell ref="BP30:BQ30"/>
    <mergeCell ref="BR30:BZ30"/>
    <mergeCell ref="D28:V28"/>
    <mergeCell ref="W28:AB28"/>
    <mergeCell ref="AC28:AH28"/>
    <mergeCell ref="AT28:BD28"/>
    <mergeCell ref="BE28:BO28"/>
    <mergeCell ref="AK27:AS27"/>
    <mergeCell ref="AI27:AJ27"/>
    <mergeCell ref="AI28:AJ28"/>
    <mergeCell ref="AK28:AS28"/>
    <mergeCell ref="BP27:BQ27"/>
    <mergeCell ref="BR27:BZ27"/>
    <mergeCell ref="BP28:BQ28"/>
    <mergeCell ref="BR28:BZ28"/>
    <mergeCell ref="A24:BZ24"/>
    <mergeCell ref="A25:C25"/>
    <mergeCell ref="D25:V25"/>
    <mergeCell ref="AC25:AH25"/>
    <mergeCell ref="AI25:AS25"/>
    <mergeCell ref="AT25:BD25"/>
    <mergeCell ref="BE25:BO25"/>
    <mergeCell ref="A26:C26"/>
    <mergeCell ref="D26:V26"/>
    <mergeCell ref="AC26:AH26"/>
    <mergeCell ref="AI26:AS26"/>
    <mergeCell ref="AT26:BD26"/>
    <mergeCell ref="BE26:BO26"/>
    <mergeCell ref="A27:C27"/>
    <mergeCell ref="D27:V27"/>
    <mergeCell ref="W27:AB27"/>
    <mergeCell ref="AC27:AH27"/>
    <mergeCell ref="AT27:BD27"/>
    <mergeCell ref="BE27:BO27"/>
    <mergeCell ref="A28:C28"/>
    <mergeCell ref="AP18:AQ18"/>
    <mergeCell ref="AR18:BC18"/>
    <mergeCell ref="A21:BC21"/>
    <mergeCell ref="BD21:BE21"/>
    <mergeCell ref="BG21:BZ21"/>
    <mergeCell ref="A22:F22"/>
    <mergeCell ref="G22:BZ22"/>
    <mergeCell ref="A23:F23"/>
    <mergeCell ref="G23:BZ23"/>
    <mergeCell ref="A16:C16"/>
    <mergeCell ref="D16:E16"/>
    <mergeCell ref="F16:W16"/>
    <mergeCell ref="Z16:AO16"/>
    <mergeCell ref="A17:C17"/>
    <mergeCell ref="D17:E17"/>
    <mergeCell ref="F17:W17"/>
    <mergeCell ref="Z17:AO17"/>
    <mergeCell ref="A18:C18"/>
    <mergeCell ref="F18:AO18"/>
    <mergeCell ref="A13:C13"/>
    <mergeCell ref="D13:X13"/>
    <mergeCell ref="A14:C14"/>
    <mergeCell ref="D14:E14"/>
    <mergeCell ref="F14:W14"/>
    <mergeCell ref="X14:Y14"/>
    <mergeCell ref="Z14:AO14"/>
    <mergeCell ref="A15:C15"/>
    <mergeCell ref="D15:E15"/>
    <mergeCell ref="F15:W15"/>
    <mergeCell ref="Z15:AO15"/>
    <mergeCell ref="A11:K11"/>
    <mergeCell ref="Q11:V11"/>
    <mergeCell ref="AB11:AH11"/>
    <mergeCell ref="AN11:AS11"/>
    <mergeCell ref="AY11:BJ11"/>
    <mergeCell ref="BK11:BZ11"/>
    <mergeCell ref="A12:C12"/>
    <mergeCell ref="D12:BC12"/>
    <mergeCell ref="BD12:BE12"/>
    <mergeCell ref="BG12:BZ12"/>
    <mergeCell ref="A7:Y7"/>
    <mergeCell ref="A8:K8"/>
    <mergeCell ref="A9:F9"/>
    <mergeCell ref="G9:P9"/>
    <mergeCell ref="V9:AE9"/>
    <mergeCell ref="AF9:AN9"/>
    <mergeCell ref="AO9:BC9"/>
    <mergeCell ref="BD9:BZ9"/>
    <mergeCell ref="A10:F10"/>
    <mergeCell ref="G10:P10"/>
    <mergeCell ref="V10:AE10"/>
    <mergeCell ref="AF10:AN10"/>
    <mergeCell ref="AO10:BC10"/>
    <mergeCell ref="BD10:BE10"/>
    <mergeCell ref="BG10:BZ10"/>
    <mergeCell ref="I2:BR2"/>
    <mergeCell ref="BS2:BZ2"/>
    <mergeCell ref="I3:BR3"/>
    <mergeCell ref="BS3:BZ3"/>
    <mergeCell ref="A5:E5"/>
    <mergeCell ref="AA5:AE5"/>
    <mergeCell ref="BA5:BJ5"/>
    <mergeCell ref="BK5:BZ5"/>
    <mergeCell ref="BA6:BD6"/>
    <mergeCell ref="BE6:BM6"/>
    <mergeCell ref="BN6:BQ6"/>
    <mergeCell ref="BR6:BZ6"/>
  </mergeCells>
  <printOptions horizontalCentered="1"/>
  <pageMargins left="0.4" right="0.6" top="0.5" bottom="0.2" header="0.3" footer="0.3"/>
  <pageSetup paperSize="5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397"/>
  <sheetViews>
    <sheetView topLeftCell="D1" zoomScale="90" zoomScaleNormal="90" workbookViewId="0">
      <selection activeCell="AW21" sqref="AW21:BD21"/>
    </sheetView>
  </sheetViews>
  <sheetFormatPr defaultColWidth="9" defaultRowHeight="14.4"/>
  <cols>
    <col min="1" max="24" width="1.6640625" customWidth="1"/>
    <col min="25" max="25" width="2.5546875" customWidth="1"/>
    <col min="26" max="99" width="1.6640625" customWidth="1"/>
    <col min="100" max="100" width="3.5546875" customWidth="1"/>
    <col min="101" max="124" width="1.6640625" customWidth="1"/>
    <col min="125" max="125" width="13.88671875" bestFit="1" customWidth="1"/>
    <col min="126" max="126" width="11.6640625" bestFit="1" customWidth="1"/>
  </cols>
  <sheetData>
    <row r="1" spans="1:124" ht="8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 spans="1:124" ht="18" customHeight="1">
      <c r="A2" s="232" t="s">
        <v>61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spans="1:124" ht="21">
      <c r="A3" s="233" t="s">
        <v>4</v>
      </c>
      <c r="B3" s="234"/>
      <c r="C3" s="234"/>
      <c r="D3" s="234"/>
      <c r="E3" s="234"/>
      <c r="F3" s="2"/>
      <c r="G3" s="235" t="s">
        <v>197</v>
      </c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6"/>
      <c r="AF3" s="233" t="s">
        <v>5</v>
      </c>
      <c r="AG3" s="234"/>
      <c r="AH3" s="234"/>
      <c r="AI3" s="234"/>
      <c r="AJ3" s="234"/>
      <c r="AK3" s="234"/>
      <c r="AL3" s="2"/>
      <c r="AM3" s="235" t="s">
        <v>6</v>
      </c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/>
      <c r="BF3" s="235"/>
      <c r="BG3" s="236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233" t="s">
        <v>8</v>
      </c>
      <c r="BV3" s="234"/>
      <c r="BW3" s="234"/>
      <c r="BX3" s="234"/>
      <c r="BY3" s="234"/>
      <c r="BZ3" s="2"/>
      <c r="CA3" s="237">
        <v>1009</v>
      </c>
      <c r="CB3" s="235"/>
      <c r="CC3" s="235"/>
      <c r="CD3" s="235"/>
      <c r="CE3" s="235"/>
      <c r="CF3" s="235"/>
      <c r="CG3" s="235"/>
      <c r="CH3" s="235"/>
      <c r="CI3" s="236"/>
      <c r="CJ3" s="233" t="s">
        <v>9</v>
      </c>
      <c r="CK3" s="234"/>
      <c r="CL3" s="234"/>
      <c r="CM3" s="234"/>
      <c r="CN3" s="234"/>
      <c r="CO3" s="2"/>
      <c r="CP3" s="237" t="s">
        <v>214</v>
      </c>
      <c r="CQ3" s="235"/>
      <c r="CR3" s="235"/>
      <c r="CS3" s="235"/>
      <c r="CT3" s="235"/>
      <c r="CU3" s="235"/>
      <c r="CV3" s="235"/>
      <c r="CW3" s="235"/>
      <c r="CX3" s="236"/>
      <c r="CY3" s="1"/>
      <c r="CZ3" s="1"/>
      <c r="DA3" s="1"/>
      <c r="DB3" s="1"/>
      <c r="DC3" s="1"/>
      <c r="DD3" s="1"/>
      <c r="DE3" s="1"/>
      <c r="DF3" s="1"/>
      <c r="DG3" s="233" t="s">
        <v>62</v>
      </c>
      <c r="DH3" s="234"/>
      <c r="DI3" s="234"/>
      <c r="DJ3" s="234"/>
      <c r="DK3" s="234"/>
      <c r="DL3" s="2"/>
      <c r="DM3" s="235">
        <v>2024</v>
      </c>
      <c r="DN3" s="235"/>
      <c r="DO3" s="235"/>
      <c r="DP3" s="235"/>
      <c r="DQ3" s="235"/>
      <c r="DR3" s="235"/>
      <c r="DS3" s="235"/>
      <c r="DT3" s="236"/>
    </row>
    <row r="4" spans="1:124" ht="8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 ht="24.9" customHeight="1">
      <c r="A5" s="238" t="s">
        <v>63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39"/>
      <c r="BL5" s="239"/>
      <c r="BM5" s="239"/>
      <c r="BN5" s="239"/>
      <c r="BO5" s="239"/>
      <c r="BP5" s="239"/>
      <c r="BQ5" s="239"/>
      <c r="BR5" s="239"/>
      <c r="BS5" s="239"/>
      <c r="BT5" s="239"/>
      <c r="BU5" s="239"/>
      <c r="BV5" s="239"/>
      <c r="BW5" s="239"/>
      <c r="BX5" s="239"/>
      <c r="BY5" s="239"/>
      <c r="BZ5" s="239"/>
      <c r="CA5" s="239"/>
      <c r="CB5" s="239"/>
      <c r="CC5" s="239"/>
      <c r="CD5" s="239"/>
      <c r="CE5" s="239"/>
      <c r="CF5" s="239"/>
      <c r="CG5" s="239"/>
      <c r="CH5" s="239"/>
      <c r="CI5" s="239"/>
      <c r="CJ5" s="239"/>
      <c r="CK5" s="239"/>
      <c r="CL5" s="239"/>
      <c r="CM5" s="239"/>
      <c r="CN5" s="239"/>
      <c r="CO5" s="239"/>
      <c r="CP5" s="239"/>
      <c r="CQ5" s="239"/>
      <c r="CR5" s="239"/>
      <c r="CS5" s="239"/>
      <c r="CT5" s="239"/>
      <c r="CU5" s="239"/>
      <c r="CV5" s="239"/>
      <c r="CW5" s="239"/>
      <c r="CX5" s="239"/>
      <c r="CY5" s="239"/>
      <c r="CZ5" s="239"/>
      <c r="DA5" s="239"/>
      <c r="DB5" s="239"/>
      <c r="DC5" s="239"/>
      <c r="DD5" s="239"/>
      <c r="DE5" s="239"/>
      <c r="DF5" s="239"/>
      <c r="DG5" s="239"/>
      <c r="DH5" s="239"/>
      <c r="DI5" s="239"/>
      <c r="DJ5" s="239"/>
      <c r="DK5" s="239"/>
      <c r="DL5" s="239"/>
      <c r="DM5" s="239"/>
      <c r="DN5" s="239"/>
      <c r="DO5" s="239"/>
      <c r="DP5" s="239"/>
      <c r="DQ5" s="239"/>
      <c r="DR5" s="239"/>
      <c r="DS5" s="239"/>
      <c r="DT5" s="240"/>
    </row>
    <row r="6" spans="1:124" ht="20.100000000000001" customHeight="1">
      <c r="A6" s="241" t="s">
        <v>64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BA6" s="242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6"/>
    </row>
    <row r="7" spans="1:124" ht="8.1" customHeight="1"/>
    <row r="8" spans="1:124" ht="17.399999999999999">
      <c r="A8" s="243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5"/>
      <c r="N8" s="246"/>
      <c r="O8" s="244"/>
      <c r="P8" s="244"/>
      <c r="Q8" s="244"/>
      <c r="R8" s="244"/>
      <c r="S8" s="244"/>
      <c r="T8" s="244"/>
      <c r="U8" s="245"/>
      <c r="V8" s="247" t="s">
        <v>65</v>
      </c>
      <c r="W8" s="248"/>
      <c r="X8" s="248"/>
      <c r="Y8" s="248"/>
      <c r="Z8" s="248"/>
      <c r="AA8" s="249"/>
      <c r="AB8" s="246"/>
      <c r="AC8" s="244"/>
      <c r="AD8" s="244"/>
      <c r="AE8" s="244"/>
      <c r="AF8" s="245"/>
      <c r="AG8" s="246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5"/>
      <c r="AW8" s="250" t="s">
        <v>66</v>
      </c>
      <c r="AX8" s="251"/>
      <c r="AY8" s="251"/>
      <c r="AZ8" s="251"/>
      <c r="BA8" s="251"/>
      <c r="BB8" s="251"/>
      <c r="BC8" s="251"/>
      <c r="BD8" s="251"/>
      <c r="BE8" s="251"/>
      <c r="BF8" s="251"/>
      <c r="BG8" s="251"/>
      <c r="BH8" s="251"/>
      <c r="BI8" s="251"/>
      <c r="BJ8" s="251"/>
      <c r="BK8" s="251"/>
      <c r="BL8" s="251"/>
      <c r="BM8" s="251"/>
      <c r="BN8" s="251"/>
      <c r="BO8" s="251"/>
      <c r="BP8" s="251"/>
      <c r="BQ8" s="251"/>
      <c r="BR8" s="251"/>
      <c r="BS8" s="251"/>
      <c r="BT8" s="251"/>
      <c r="BU8" s="251"/>
      <c r="BV8" s="251"/>
      <c r="BW8" s="251"/>
      <c r="BX8" s="251"/>
      <c r="BY8" s="251"/>
      <c r="BZ8" s="251"/>
      <c r="CA8" s="251"/>
      <c r="CB8" s="251"/>
      <c r="CC8" s="251"/>
      <c r="CD8" s="251"/>
      <c r="CE8" s="251"/>
      <c r="CF8" s="251"/>
      <c r="CG8" s="251"/>
      <c r="CH8" s="251"/>
      <c r="CI8" s="251"/>
      <c r="CJ8" s="251"/>
      <c r="CK8" s="251"/>
      <c r="CL8" s="251"/>
      <c r="CM8" s="251"/>
      <c r="CN8" s="251"/>
      <c r="CO8" s="251"/>
      <c r="CP8" s="251"/>
      <c r="CQ8" s="251"/>
      <c r="CR8" s="252"/>
      <c r="CS8" s="246"/>
      <c r="CT8" s="244"/>
      <c r="CU8" s="244"/>
      <c r="CV8" s="244"/>
      <c r="CW8" s="244"/>
      <c r="CX8" s="244"/>
      <c r="CY8" s="244"/>
      <c r="CZ8" s="245"/>
      <c r="DA8" s="246"/>
      <c r="DB8" s="244"/>
      <c r="DC8" s="244"/>
      <c r="DD8" s="244"/>
      <c r="DE8" s="244"/>
      <c r="DF8" s="244"/>
      <c r="DG8" s="244"/>
      <c r="DH8" s="244"/>
      <c r="DI8" s="245"/>
      <c r="DJ8" s="246"/>
      <c r="DK8" s="244"/>
      <c r="DL8" s="244"/>
      <c r="DM8" s="244"/>
      <c r="DN8" s="244"/>
      <c r="DO8" s="244"/>
      <c r="DP8" s="244"/>
      <c r="DQ8" s="244"/>
      <c r="DR8" s="244"/>
      <c r="DS8" s="244"/>
      <c r="DT8" s="253"/>
    </row>
    <row r="9" spans="1:124">
      <c r="A9" s="264" t="s">
        <v>67</v>
      </c>
      <c r="B9" s="257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8"/>
      <c r="N9" s="256" t="s">
        <v>68</v>
      </c>
      <c r="O9" s="257"/>
      <c r="P9" s="257"/>
      <c r="Q9" s="257"/>
      <c r="R9" s="257"/>
      <c r="S9" s="257"/>
      <c r="T9" s="257"/>
      <c r="U9" s="258"/>
      <c r="V9" s="265" t="s">
        <v>69</v>
      </c>
      <c r="W9" s="266"/>
      <c r="X9" s="266"/>
      <c r="Y9" s="266"/>
      <c r="Z9" s="266"/>
      <c r="AA9" s="267"/>
      <c r="AB9" s="268" t="s">
        <v>70</v>
      </c>
      <c r="AC9" s="269"/>
      <c r="AD9" s="269"/>
      <c r="AE9" s="269"/>
      <c r="AF9" s="270"/>
      <c r="AG9" s="256" t="s">
        <v>71</v>
      </c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8"/>
      <c r="AW9" s="283" t="s">
        <v>72</v>
      </c>
      <c r="AX9" s="254"/>
      <c r="AY9" s="254"/>
      <c r="AZ9" s="254"/>
      <c r="BA9" s="254"/>
      <c r="BB9" s="254"/>
      <c r="BC9" s="254"/>
      <c r="BD9" s="254"/>
      <c r="BE9" s="254" t="s">
        <v>73</v>
      </c>
      <c r="BF9" s="254"/>
      <c r="BG9" s="254"/>
      <c r="BH9" s="254"/>
      <c r="BI9" s="254"/>
      <c r="BJ9" s="254"/>
      <c r="BK9" s="254"/>
      <c r="BL9" s="254"/>
      <c r="BM9" s="254" t="s">
        <v>74</v>
      </c>
      <c r="BN9" s="254"/>
      <c r="BO9" s="254"/>
      <c r="BP9" s="254"/>
      <c r="BQ9" s="254"/>
      <c r="BR9" s="254"/>
      <c r="BS9" s="254"/>
      <c r="BT9" s="254"/>
      <c r="BU9" s="254" t="s">
        <v>75</v>
      </c>
      <c r="BV9" s="254"/>
      <c r="BW9" s="254"/>
      <c r="BX9" s="254"/>
      <c r="BY9" s="254"/>
      <c r="BZ9" s="254"/>
      <c r="CA9" s="254"/>
      <c r="CB9" s="254"/>
      <c r="CC9" s="254" t="s">
        <v>76</v>
      </c>
      <c r="CD9" s="254"/>
      <c r="CE9" s="254"/>
      <c r="CF9" s="254"/>
      <c r="CG9" s="254"/>
      <c r="CH9" s="254"/>
      <c r="CI9" s="254"/>
      <c r="CJ9" s="254"/>
      <c r="CK9" s="254" t="s">
        <v>77</v>
      </c>
      <c r="CL9" s="254"/>
      <c r="CM9" s="254"/>
      <c r="CN9" s="254"/>
      <c r="CO9" s="254"/>
      <c r="CP9" s="254"/>
      <c r="CQ9" s="254"/>
      <c r="CR9" s="255"/>
      <c r="CS9" s="256" t="s">
        <v>78</v>
      </c>
      <c r="CT9" s="257"/>
      <c r="CU9" s="257"/>
      <c r="CV9" s="257"/>
      <c r="CW9" s="257"/>
      <c r="CX9" s="257"/>
      <c r="CY9" s="257"/>
      <c r="CZ9" s="258"/>
      <c r="DA9" s="256" t="s">
        <v>79</v>
      </c>
      <c r="DB9" s="257"/>
      <c r="DC9" s="257"/>
      <c r="DD9" s="257"/>
      <c r="DE9" s="257"/>
      <c r="DF9" s="257"/>
      <c r="DG9" s="257"/>
      <c r="DH9" s="257"/>
      <c r="DI9" s="258"/>
      <c r="DJ9" s="256" t="s">
        <v>80</v>
      </c>
      <c r="DK9" s="257"/>
      <c r="DL9" s="257"/>
      <c r="DM9" s="257"/>
      <c r="DN9" s="257"/>
      <c r="DO9" s="257"/>
      <c r="DP9" s="257"/>
      <c r="DQ9" s="257"/>
      <c r="DR9" s="257"/>
      <c r="DS9" s="257"/>
      <c r="DT9" s="259"/>
    </row>
    <row r="10" spans="1:124">
      <c r="A10" s="277" t="s">
        <v>215</v>
      </c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9"/>
      <c r="N10" s="260" t="s">
        <v>216</v>
      </c>
      <c r="O10" s="102"/>
      <c r="P10" s="102"/>
      <c r="Q10" s="102"/>
      <c r="R10" s="102"/>
      <c r="S10" s="102"/>
      <c r="T10" s="102"/>
      <c r="U10" s="103"/>
      <c r="V10" s="261">
        <v>1988</v>
      </c>
      <c r="W10" s="102"/>
      <c r="X10" s="102"/>
      <c r="Y10" s="102"/>
      <c r="Z10" s="102"/>
      <c r="AA10" s="103"/>
      <c r="AB10" s="280" t="s">
        <v>217</v>
      </c>
      <c r="AC10" s="281"/>
      <c r="AD10" s="281"/>
      <c r="AE10" s="281"/>
      <c r="AF10" s="282"/>
      <c r="AG10" s="260" t="s">
        <v>218</v>
      </c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3"/>
      <c r="AW10" s="261"/>
      <c r="AX10" s="102"/>
      <c r="AY10" s="102"/>
      <c r="AZ10" s="102"/>
      <c r="BA10" s="102"/>
      <c r="BB10" s="102"/>
      <c r="BC10" s="102"/>
      <c r="BD10" s="103"/>
      <c r="BE10" s="261"/>
      <c r="BF10" s="102"/>
      <c r="BG10" s="102"/>
      <c r="BH10" s="102"/>
      <c r="BI10" s="102"/>
      <c r="BJ10" s="102"/>
      <c r="BK10" s="102"/>
      <c r="BL10" s="103"/>
      <c r="BM10" s="260" t="s">
        <v>219</v>
      </c>
      <c r="BN10" s="102"/>
      <c r="BO10" s="102"/>
      <c r="BP10" s="102"/>
      <c r="BQ10" s="102"/>
      <c r="BR10" s="102"/>
      <c r="BS10" s="102"/>
      <c r="BT10" s="103"/>
      <c r="BU10" s="260" t="s">
        <v>220</v>
      </c>
      <c r="BV10" s="102"/>
      <c r="BW10" s="102"/>
      <c r="BX10" s="102"/>
      <c r="BY10" s="102"/>
      <c r="BZ10" s="102"/>
      <c r="CA10" s="102"/>
      <c r="CB10" s="103"/>
      <c r="CC10" s="260" t="s">
        <v>379</v>
      </c>
      <c r="CD10" s="102"/>
      <c r="CE10" s="102"/>
      <c r="CF10" s="102"/>
      <c r="CG10" s="102"/>
      <c r="CH10" s="102"/>
      <c r="CI10" s="102"/>
      <c r="CJ10" s="103"/>
      <c r="CK10" s="261"/>
      <c r="CL10" s="102"/>
      <c r="CM10" s="102"/>
      <c r="CN10" s="102"/>
      <c r="CO10" s="102"/>
      <c r="CP10" s="102"/>
      <c r="CQ10" s="102"/>
      <c r="CR10" s="103"/>
      <c r="CS10" s="271" t="s">
        <v>206</v>
      </c>
      <c r="CT10" s="272"/>
      <c r="CU10" s="272">
        <v>1605.3</v>
      </c>
      <c r="CV10" s="272"/>
      <c r="CW10" s="272"/>
      <c r="CX10" s="272"/>
      <c r="CY10" s="272"/>
      <c r="CZ10" s="273"/>
      <c r="DA10" s="274" t="s">
        <v>206</v>
      </c>
      <c r="DB10" s="275"/>
      <c r="DC10" s="275">
        <f>+AB10*CU10</f>
        <v>3210.6</v>
      </c>
      <c r="DD10" s="275"/>
      <c r="DE10" s="275"/>
      <c r="DF10" s="275"/>
      <c r="DG10" s="275"/>
      <c r="DH10" s="275"/>
      <c r="DI10" s="276"/>
      <c r="DJ10" s="262" t="s">
        <v>305</v>
      </c>
      <c r="DK10" s="90"/>
      <c r="DL10" s="90"/>
      <c r="DM10" s="90"/>
      <c r="DN10" s="90"/>
      <c r="DO10" s="90"/>
      <c r="DP10" s="90"/>
      <c r="DQ10" s="90"/>
      <c r="DR10" s="90"/>
      <c r="DS10" s="90"/>
      <c r="DT10" s="263"/>
    </row>
    <row r="11" spans="1:124">
      <c r="A11" s="294" t="s">
        <v>222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9"/>
      <c r="N11" s="260" t="s">
        <v>223</v>
      </c>
      <c r="O11" s="102"/>
      <c r="P11" s="102"/>
      <c r="Q11" s="102"/>
      <c r="R11" s="102"/>
      <c r="S11" s="102"/>
      <c r="T11" s="102"/>
      <c r="U11" s="103"/>
      <c r="V11" s="261">
        <v>1988</v>
      </c>
      <c r="W11" s="102"/>
      <c r="X11" s="102"/>
      <c r="Y11" s="102"/>
      <c r="Z11" s="102"/>
      <c r="AA11" s="103"/>
      <c r="AB11" s="291" t="s">
        <v>217</v>
      </c>
      <c r="AC11" s="295"/>
      <c r="AD11" s="295"/>
      <c r="AE11" s="295"/>
      <c r="AF11" s="296"/>
      <c r="AG11" s="260" t="s">
        <v>218</v>
      </c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3"/>
      <c r="AW11" s="284"/>
      <c r="AX11" s="90"/>
      <c r="AY11" s="90"/>
      <c r="AZ11" s="90"/>
      <c r="BA11" s="90"/>
      <c r="BB11" s="90"/>
      <c r="BC11" s="90"/>
      <c r="BD11" s="91"/>
      <c r="BE11" s="284"/>
      <c r="BF11" s="90"/>
      <c r="BG11" s="90"/>
      <c r="BH11" s="90"/>
      <c r="BI11" s="90"/>
      <c r="BJ11" s="90"/>
      <c r="BK11" s="90"/>
      <c r="BL11" s="91"/>
      <c r="BM11" s="260" t="s">
        <v>219</v>
      </c>
      <c r="BN11" s="102"/>
      <c r="BO11" s="102"/>
      <c r="BP11" s="102"/>
      <c r="BQ11" s="102"/>
      <c r="BR11" s="102"/>
      <c r="BS11" s="102"/>
      <c r="BT11" s="103"/>
      <c r="BU11" s="260" t="s">
        <v>220</v>
      </c>
      <c r="BV11" s="102"/>
      <c r="BW11" s="102"/>
      <c r="BX11" s="102"/>
      <c r="BY11" s="102"/>
      <c r="BZ11" s="102"/>
      <c r="CA11" s="102"/>
      <c r="CB11" s="103"/>
      <c r="CC11" s="262" t="s">
        <v>380</v>
      </c>
      <c r="CD11" s="90"/>
      <c r="CE11" s="90"/>
      <c r="CF11" s="90"/>
      <c r="CG11" s="90"/>
      <c r="CH11" s="90"/>
      <c r="CI11" s="90"/>
      <c r="CJ11" s="91"/>
      <c r="CK11" s="284"/>
      <c r="CL11" s="90"/>
      <c r="CM11" s="90"/>
      <c r="CN11" s="90"/>
      <c r="CO11" s="90"/>
      <c r="CP11" s="90"/>
      <c r="CQ11" s="90"/>
      <c r="CR11" s="91"/>
      <c r="CS11" s="271" t="s">
        <v>206</v>
      </c>
      <c r="CT11" s="272"/>
      <c r="CU11" s="272">
        <v>1070</v>
      </c>
      <c r="CV11" s="272"/>
      <c r="CW11" s="272"/>
      <c r="CX11" s="272"/>
      <c r="CY11" s="272"/>
      <c r="CZ11" s="273"/>
      <c r="DA11" s="274" t="s">
        <v>206</v>
      </c>
      <c r="DB11" s="275"/>
      <c r="DC11" s="275">
        <f t="shared" ref="DC11:DC35" si="0">+AB11*CU11</f>
        <v>2140</v>
      </c>
      <c r="DD11" s="275"/>
      <c r="DE11" s="275"/>
      <c r="DF11" s="275"/>
      <c r="DG11" s="275"/>
      <c r="DH11" s="275"/>
      <c r="DI11" s="276"/>
      <c r="DJ11" s="262" t="s">
        <v>305</v>
      </c>
      <c r="DK11" s="90"/>
      <c r="DL11" s="90"/>
      <c r="DM11" s="90"/>
      <c r="DN11" s="90"/>
      <c r="DO11" s="90"/>
      <c r="DP11" s="90"/>
      <c r="DQ11" s="90"/>
      <c r="DR11" s="90"/>
      <c r="DS11" s="90"/>
      <c r="DT11" s="263"/>
    </row>
    <row r="12" spans="1:124">
      <c r="A12" s="288"/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90"/>
      <c r="N12" s="260" t="s">
        <v>224</v>
      </c>
      <c r="O12" s="102"/>
      <c r="P12" s="102"/>
      <c r="Q12" s="102"/>
      <c r="R12" s="102"/>
      <c r="S12" s="102"/>
      <c r="T12" s="102"/>
      <c r="U12" s="103"/>
      <c r="V12" s="261">
        <v>1988</v>
      </c>
      <c r="W12" s="102"/>
      <c r="X12" s="102"/>
      <c r="Y12" s="102"/>
      <c r="Z12" s="102"/>
      <c r="AA12" s="103"/>
      <c r="AB12" s="291" t="s">
        <v>252</v>
      </c>
      <c r="AC12" s="292"/>
      <c r="AD12" s="292"/>
      <c r="AE12" s="292"/>
      <c r="AF12" s="293"/>
      <c r="AG12" s="262" t="s">
        <v>255</v>
      </c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1"/>
      <c r="AW12" s="284"/>
      <c r="AX12" s="90"/>
      <c r="AY12" s="90"/>
      <c r="AZ12" s="90"/>
      <c r="BA12" s="90"/>
      <c r="BB12" s="90"/>
      <c r="BC12" s="90"/>
      <c r="BD12" s="91"/>
      <c r="BE12" s="284"/>
      <c r="BF12" s="90"/>
      <c r="BG12" s="90"/>
      <c r="BH12" s="90"/>
      <c r="BI12" s="90"/>
      <c r="BJ12" s="90"/>
      <c r="BK12" s="90"/>
      <c r="BL12" s="91"/>
      <c r="BM12" s="260" t="s">
        <v>219</v>
      </c>
      <c r="BN12" s="102"/>
      <c r="BO12" s="102"/>
      <c r="BP12" s="102"/>
      <c r="BQ12" s="102"/>
      <c r="BR12" s="102"/>
      <c r="BS12" s="102"/>
      <c r="BT12" s="103"/>
      <c r="BU12" s="260" t="s">
        <v>220</v>
      </c>
      <c r="BV12" s="102"/>
      <c r="BW12" s="102"/>
      <c r="BX12" s="102"/>
      <c r="BY12" s="102"/>
      <c r="BZ12" s="102"/>
      <c r="CA12" s="102"/>
      <c r="CB12" s="103"/>
      <c r="CC12" s="284"/>
      <c r="CD12" s="90"/>
      <c r="CE12" s="90"/>
      <c r="CF12" s="90"/>
      <c r="CG12" s="90"/>
      <c r="CH12" s="90"/>
      <c r="CI12" s="90"/>
      <c r="CJ12" s="91"/>
      <c r="CK12" s="284"/>
      <c r="CL12" s="90"/>
      <c r="CM12" s="90"/>
      <c r="CN12" s="90"/>
      <c r="CO12" s="90"/>
      <c r="CP12" s="90"/>
      <c r="CQ12" s="90"/>
      <c r="CR12" s="91"/>
      <c r="CS12" s="271" t="s">
        <v>206</v>
      </c>
      <c r="CT12" s="272"/>
      <c r="CU12" s="272">
        <v>3949.4</v>
      </c>
      <c r="CV12" s="272"/>
      <c r="CW12" s="272"/>
      <c r="CX12" s="272"/>
      <c r="CY12" s="272"/>
      <c r="CZ12" s="273"/>
      <c r="DA12" s="274" t="s">
        <v>206</v>
      </c>
      <c r="DB12" s="275"/>
      <c r="DC12" s="275">
        <f t="shared" si="0"/>
        <v>3949.4</v>
      </c>
      <c r="DD12" s="275"/>
      <c r="DE12" s="275"/>
      <c r="DF12" s="275"/>
      <c r="DG12" s="275"/>
      <c r="DH12" s="275"/>
      <c r="DI12" s="276"/>
      <c r="DJ12" s="285" t="s">
        <v>304</v>
      </c>
      <c r="DK12" s="286"/>
      <c r="DL12" s="286"/>
      <c r="DM12" s="286"/>
      <c r="DN12" s="286"/>
      <c r="DO12" s="286"/>
      <c r="DP12" s="286"/>
      <c r="DQ12" s="286"/>
      <c r="DR12" s="286"/>
      <c r="DS12" s="286"/>
      <c r="DT12" s="287"/>
    </row>
    <row r="13" spans="1:124">
      <c r="A13" s="288"/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90"/>
      <c r="N13" s="260" t="s">
        <v>225</v>
      </c>
      <c r="O13" s="102"/>
      <c r="P13" s="102"/>
      <c r="Q13" s="102"/>
      <c r="R13" s="102"/>
      <c r="S13" s="102"/>
      <c r="T13" s="102"/>
      <c r="U13" s="103"/>
      <c r="V13" s="297">
        <v>35547</v>
      </c>
      <c r="W13" s="102"/>
      <c r="X13" s="102"/>
      <c r="Y13" s="102"/>
      <c r="Z13" s="102"/>
      <c r="AA13" s="103"/>
      <c r="AB13" s="291" t="s">
        <v>252</v>
      </c>
      <c r="AC13" s="292"/>
      <c r="AD13" s="292"/>
      <c r="AE13" s="292"/>
      <c r="AF13" s="293"/>
      <c r="AG13" s="262" t="s">
        <v>256</v>
      </c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1"/>
      <c r="AW13" s="262" t="s">
        <v>274</v>
      </c>
      <c r="AX13" s="90"/>
      <c r="AY13" s="90"/>
      <c r="AZ13" s="90"/>
      <c r="BA13" s="90"/>
      <c r="BB13" s="90"/>
      <c r="BC13" s="90"/>
      <c r="BD13" s="91"/>
      <c r="BE13" s="262" t="s">
        <v>279</v>
      </c>
      <c r="BF13" s="90"/>
      <c r="BG13" s="90"/>
      <c r="BH13" s="90"/>
      <c r="BI13" s="90"/>
      <c r="BJ13" s="90"/>
      <c r="BK13" s="90"/>
      <c r="BL13" s="91"/>
      <c r="BM13" s="260" t="s">
        <v>219</v>
      </c>
      <c r="BN13" s="102"/>
      <c r="BO13" s="102"/>
      <c r="BP13" s="102"/>
      <c r="BQ13" s="102"/>
      <c r="BR13" s="102"/>
      <c r="BS13" s="102"/>
      <c r="BT13" s="103"/>
      <c r="BU13" s="260" t="s">
        <v>220</v>
      </c>
      <c r="BV13" s="102"/>
      <c r="BW13" s="102"/>
      <c r="BX13" s="102"/>
      <c r="BY13" s="102"/>
      <c r="BZ13" s="102"/>
      <c r="CA13" s="102"/>
      <c r="CB13" s="103"/>
      <c r="CC13" s="284"/>
      <c r="CD13" s="90"/>
      <c r="CE13" s="90"/>
      <c r="CF13" s="90"/>
      <c r="CG13" s="90"/>
      <c r="CH13" s="90"/>
      <c r="CI13" s="90"/>
      <c r="CJ13" s="91"/>
      <c r="CK13" s="284">
        <v>1902460</v>
      </c>
      <c r="CL13" s="90"/>
      <c r="CM13" s="90"/>
      <c r="CN13" s="90"/>
      <c r="CO13" s="90"/>
      <c r="CP13" s="90"/>
      <c r="CQ13" s="90"/>
      <c r="CR13" s="91"/>
      <c r="CS13" s="271" t="s">
        <v>206</v>
      </c>
      <c r="CT13" s="272"/>
      <c r="CU13" s="298">
        <v>73500</v>
      </c>
      <c r="CV13" s="298"/>
      <c r="CW13" s="298"/>
      <c r="CX13" s="298"/>
      <c r="CY13" s="298"/>
      <c r="CZ13" s="299"/>
      <c r="DA13" s="274" t="s">
        <v>206</v>
      </c>
      <c r="DB13" s="275"/>
      <c r="DC13" s="275">
        <f t="shared" si="0"/>
        <v>73500</v>
      </c>
      <c r="DD13" s="275"/>
      <c r="DE13" s="275"/>
      <c r="DF13" s="275"/>
      <c r="DG13" s="275"/>
      <c r="DH13" s="275"/>
      <c r="DI13" s="276"/>
      <c r="DJ13" s="262" t="s">
        <v>305</v>
      </c>
      <c r="DK13" s="90"/>
      <c r="DL13" s="90"/>
      <c r="DM13" s="90"/>
      <c r="DN13" s="90"/>
      <c r="DO13" s="90"/>
      <c r="DP13" s="90"/>
      <c r="DQ13" s="90"/>
      <c r="DR13" s="90"/>
      <c r="DS13" s="90"/>
      <c r="DT13" s="263"/>
    </row>
    <row r="14" spans="1:124">
      <c r="A14" s="300"/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260" t="s">
        <v>226</v>
      </c>
      <c r="O14" s="102"/>
      <c r="P14" s="102"/>
      <c r="Q14" s="102"/>
      <c r="R14" s="102"/>
      <c r="S14" s="102"/>
      <c r="T14" s="102"/>
      <c r="U14" s="103"/>
      <c r="V14" s="297">
        <v>35547</v>
      </c>
      <c r="W14" s="102"/>
      <c r="X14" s="102"/>
      <c r="Y14" s="102"/>
      <c r="Z14" s="102"/>
      <c r="AA14" s="103"/>
      <c r="AB14" s="291" t="s">
        <v>252</v>
      </c>
      <c r="AC14" s="292"/>
      <c r="AD14" s="292"/>
      <c r="AE14" s="292"/>
      <c r="AF14" s="293"/>
      <c r="AG14" s="262" t="s">
        <v>257</v>
      </c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1"/>
      <c r="AW14" s="301" t="s">
        <v>275</v>
      </c>
      <c r="AX14" s="302"/>
      <c r="AY14" s="302"/>
      <c r="AZ14" s="302"/>
      <c r="BA14" s="302"/>
      <c r="BB14" s="302"/>
      <c r="BC14" s="302"/>
      <c r="BD14" s="303"/>
      <c r="BE14" s="284"/>
      <c r="BF14" s="90"/>
      <c r="BG14" s="90"/>
      <c r="BH14" s="90"/>
      <c r="BI14" s="90"/>
      <c r="BJ14" s="90"/>
      <c r="BK14" s="90"/>
      <c r="BL14" s="91"/>
      <c r="BM14" s="284"/>
      <c r="BN14" s="90"/>
      <c r="BO14" s="90"/>
      <c r="BP14" s="90"/>
      <c r="BQ14" s="90"/>
      <c r="BR14" s="90"/>
      <c r="BS14" s="90"/>
      <c r="BT14" s="91"/>
      <c r="BU14" s="284"/>
      <c r="BV14" s="90"/>
      <c r="BW14" s="90"/>
      <c r="BX14" s="90"/>
      <c r="BY14" s="90"/>
      <c r="BZ14" s="90"/>
      <c r="CA14" s="90"/>
      <c r="CB14" s="91"/>
      <c r="CC14" s="284"/>
      <c r="CD14" s="90"/>
      <c r="CE14" s="90"/>
      <c r="CF14" s="90"/>
      <c r="CG14" s="90"/>
      <c r="CH14" s="90"/>
      <c r="CI14" s="90"/>
      <c r="CJ14" s="91"/>
      <c r="CK14" s="284"/>
      <c r="CL14" s="90"/>
      <c r="CM14" s="90"/>
      <c r="CN14" s="90"/>
      <c r="CO14" s="90"/>
      <c r="CP14" s="90"/>
      <c r="CQ14" s="90"/>
      <c r="CR14" s="91"/>
      <c r="CS14" s="271" t="s">
        <v>206</v>
      </c>
      <c r="CT14" s="272"/>
      <c r="CU14" s="298">
        <v>0</v>
      </c>
      <c r="CV14" s="298"/>
      <c r="CW14" s="298"/>
      <c r="CX14" s="298"/>
      <c r="CY14" s="298"/>
      <c r="CZ14" s="299"/>
      <c r="DA14" s="274" t="s">
        <v>206</v>
      </c>
      <c r="DB14" s="275"/>
      <c r="DC14" s="275">
        <f t="shared" si="0"/>
        <v>0</v>
      </c>
      <c r="DD14" s="275"/>
      <c r="DE14" s="275"/>
      <c r="DF14" s="275"/>
      <c r="DG14" s="275"/>
      <c r="DH14" s="275"/>
      <c r="DI14" s="276"/>
      <c r="DJ14" s="262" t="s">
        <v>305</v>
      </c>
      <c r="DK14" s="90"/>
      <c r="DL14" s="90"/>
      <c r="DM14" s="90"/>
      <c r="DN14" s="90"/>
      <c r="DO14" s="90"/>
      <c r="DP14" s="90"/>
      <c r="DQ14" s="90"/>
      <c r="DR14" s="90"/>
      <c r="DS14" s="90"/>
      <c r="DT14" s="263"/>
    </row>
    <row r="15" spans="1:124">
      <c r="A15" s="288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90"/>
      <c r="N15" s="260" t="s">
        <v>227</v>
      </c>
      <c r="O15" s="102"/>
      <c r="P15" s="102"/>
      <c r="Q15" s="102"/>
      <c r="R15" s="102"/>
      <c r="S15" s="102"/>
      <c r="T15" s="102"/>
      <c r="U15" s="103"/>
      <c r="V15" s="305" t="s">
        <v>248</v>
      </c>
      <c r="W15" s="102"/>
      <c r="X15" s="102"/>
      <c r="Y15" s="102"/>
      <c r="Z15" s="102"/>
      <c r="AA15" s="103"/>
      <c r="AB15" s="291" t="s">
        <v>252</v>
      </c>
      <c r="AC15" s="292"/>
      <c r="AD15" s="292"/>
      <c r="AE15" s="292"/>
      <c r="AF15" s="293"/>
      <c r="AG15" s="262" t="s">
        <v>258</v>
      </c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1"/>
      <c r="AW15" s="284"/>
      <c r="AX15" s="90"/>
      <c r="AY15" s="90"/>
      <c r="AZ15" s="90"/>
      <c r="BA15" s="90"/>
      <c r="BB15" s="90"/>
      <c r="BC15" s="90"/>
      <c r="BD15" s="91"/>
      <c r="BE15" s="284"/>
      <c r="BF15" s="90"/>
      <c r="BG15" s="90"/>
      <c r="BH15" s="90"/>
      <c r="BI15" s="90"/>
      <c r="BJ15" s="90"/>
      <c r="BK15" s="90"/>
      <c r="BL15" s="91"/>
      <c r="BM15" s="262" t="s">
        <v>285</v>
      </c>
      <c r="BN15" s="90"/>
      <c r="BO15" s="90"/>
      <c r="BP15" s="90"/>
      <c r="BQ15" s="90"/>
      <c r="BR15" s="90"/>
      <c r="BS15" s="90"/>
      <c r="BT15" s="91"/>
      <c r="BU15" s="262" t="s">
        <v>291</v>
      </c>
      <c r="BV15" s="90"/>
      <c r="BW15" s="90"/>
      <c r="BX15" s="90"/>
      <c r="BY15" s="90"/>
      <c r="BZ15" s="90"/>
      <c r="CA15" s="90"/>
      <c r="CB15" s="91"/>
      <c r="CC15" s="284"/>
      <c r="CD15" s="90"/>
      <c r="CE15" s="90"/>
      <c r="CF15" s="90"/>
      <c r="CG15" s="90"/>
      <c r="CH15" s="90"/>
      <c r="CI15" s="90"/>
      <c r="CJ15" s="91"/>
      <c r="CK15" s="284"/>
      <c r="CL15" s="90"/>
      <c r="CM15" s="90"/>
      <c r="CN15" s="90"/>
      <c r="CO15" s="90"/>
      <c r="CP15" s="90"/>
      <c r="CQ15" s="90"/>
      <c r="CR15" s="91"/>
      <c r="CS15" s="271" t="s">
        <v>206</v>
      </c>
      <c r="CT15" s="272"/>
      <c r="CU15" s="298">
        <v>10500</v>
      </c>
      <c r="CV15" s="298"/>
      <c r="CW15" s="298"/>
      <c r="CX15" s="298"/>
      <c r="CY15" s="298"/>
      <c r="CZ15" s="299"/>
      <c r="DA15" s="274" t="s">
        <v>206</v>
      </c>
      <c r="DB15" s="275"/>
      <c r="DC15" s="275">
        <f t="shared" si="0"/>
        <v>10500</v>
      </c>
      <c r="DD15" s="275"/>
      <c r="DE15" s="275"/>
      <c r="DF15" s="275"/>
      <c r="DG15" s="275"/>
      <c r="DH15" s="275"/>
      <c r="DI15" s="276"/>
      <c r="DJ15" s="262" t="s">
        <v>305</v>
      </c>
      <c r="DK15" s="90"/>
      <c r="DL15" s="90"/>
      <c r="DM15" s="90"/>
      <c r="DN15" s="90"/>
      <c r="DO15" s="90"/>
      <c r="DP15" s="90"/>
      <c r="DQ15" s="90"/>
      <c r="DR15" s="90"/>
      <c r="DS15" s="90"/>
      <c r="DT15" s="263"/>
    </row>
    <row r="16" spans="1:124">
      <c r="A16" s="304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60" t="s">
        <v>228</v>
      </c>
      <c r="O16" s="102"/>
      <c r="P16" s="102"/>
      <c r="Q16" s="102"/>
      <c r="R16" s="102"/>
      <c r="S16" s="102"/>
      <c r="T16" s="102"/>
      <c r="U16" s="103"/>
      <c r="V16" s="297">
        <v>37759</v>
      </c>
      <c r="W16" s="102"/>
      <c r="X16" s="102"/>
      <c r="Y16" s="102"/>
      <c r="Z16" s="102"/>
      <c r="AA16" s="103"/>
      <c r="AB16" s="291" t="s">
        <v>252</v>
      </c>
      <c r="AC16" s="292"/>
      <c r="AD16" s="292"/>
      <c r="AE16" s="292"/>
      <c r="AF16" s="293"/>
      <c r="AG16" s="285" t="s">
        <v>259</v>
      </c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5" t="s">
        <v>276</v>
      </c>
      <c r="AX16" s="286"/>
      <c r="AY16" s="286"/>
      <c r="AZ16" s="286"/>
      <c r="BA16" s="286"/>
      <c r="BB16" s="286"/>
      <c r="BC16" s="286"/>
      <c r="BD16" s="286"/>
      <c r="BE16" s="285" t="s">
        <v>280</v>
      </c>
      <c r="BF16" s="286"/>
      <c r="BG16" s="286"/>
      <c r="BH16" s="286"/>
      <c r="BI16" s="286"/>
      <c r="BJ16" s="286"/>
      <c r="BK16" s="286"/>
      <c r="BL16" s="286"/>
      <c r="BM16" s="285" t="s">
        <v>286</v>
      </c>
      <c r="BN16" s="286"/>
      <c r="BO16" s="286"/>
      <c r="BP16" s="286"/>
      <c r="BQ16" s="286"/>
      <c r="BR16" s="286"/>
      <c r="BS16" s="286"/>
      <c r="BT16" s="286"/>
      <c r="BU16" s="285" t="s">
        <v>292</v>
      </c>
      <c r="BV16" s="286"/>
      <c r="BW16" s="286"/>
      <c r="BX16" s="286"/>
      <c r="BY16" s="286"/>
      <c r="BZ16" s="286"/>
      <c r="CA16" s="286"/>
      <c r="CB16" s="286"/>
      <c r="CC16" s="286"/>
      <c r="CD16" s="286"/>
      <c r="CE16" s="286"/>
      <c r="CF16" s="286"/>
      <c r="CG16" s="286"/>
      <c r="CH16" s="286"/>
      <c r="CI16" s="286"/>
      <c r="CJ16" s="286"/>
      <c r="CK16" s="286">
        <v>322109129</v>
      </c>
      <c r="CL16" s="286"/>
      <c r="CM16" s="286"/>
      <c r="CN16" s="286"/>
      <c r="CO16" s="286"/>
      <c r="CP16" s="286"/>
      <c r="CQ16" s="286"/>
      <c r="CR16" s="286"/>
      <c r="CS16" s="271" t="s">
        <v>206</v>
      </c>
      <c r="CT16" s="272"/>
      <c r="CU16" s="298">
        <v>1370</v>
      </c>
      <c r="CV16" s="298"/>
      <c r="CW16" s="298"/>
      <c r="CX16" s="298"/>
      <c r="CY16" s="298"/>
      <c r="CZ16" s="299"/>
      <c r="DA16" s="274" t="s">
        <v>206</v>
      </c>
      <c r="DB16" s="275"/>
      <c r="DC16" s="275">
        <f t="shared" si="0"/>
        <v>1370</v>
      </c>
      <c r="DD16" s="275"/>
      <c r="DE16" s="275"/>
      <c r="DF16" s="275"/>
      <c r="DG16" s="275"/>
      <c r="DH16" s="275"/>
      <c r="DI16" s="276"/>
      <c r="DJ16" s="262" t="s">
        <v>305</v>
      </c>
      <c r="DK16" s="90"/>
      <c r="DL16" s="90"/>
      <c r="DM16" s="90"/>
      <c r="DN16" s="90"/>
      <c r="DO16" s="90"/>
      <c r="DP16" s="90"/>
      <c r="DQ16" s="90"/>
      <c r="DR16" s="90"/>
      <c r="DS16" s="90"/>
      <c r="DT16" s="263"/>
    </row>
    <row r="17" spans="1:124">
      <c r="A17" s="304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60" t="s">
        <v>229</v>
      </c>
      <c r="O17" s="102"/>
      <c r="P17" s="102"/>
      <c r="Q17" s="102"/>
      <c r="R17" s="102"/>
      <c r="S17" s="102"/>
      <c r="T17" s="102"/>
      <c r="U17" s="103"/>
      <c r="V17" s="297">
        <v>37759</v>
      </c>
      <c r="W17" s="102"/>
      <c r="X17" s="102"/>
      <c r="Y17" s="102"/>
      <c r="Z17" s="102"/>
      <c r="AA17" s="103"/>
      <c r="AB17" s="291" t="s">
        <v>252</v>
      </c>
      <c r="AC17" s="292"/>
      <c r="AD17" s="292"/>
      <c r="AE17" s="292"/>
      <c r="AF17" s="293"/>
      <c r="AG17" s="285" t="s">
        <v>259</v>
      </c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86"/>
      <c r="AU17" s="286"/>
      <c r="AV17" s="286"/>
      <c r="AW17" s="285" t="s">
        <v>276</v>
      </c>
      <c r="AX17" s="286"/>
      <c r="AY17" s="286"/>
      <c r="AZ17" s="286"/>
      <c r="BA17" s="286"/>
      <c r="BB17" s="286"/>
      <c r="BC17" s="286"/>
      <c r="BD17" s="286"/>
      <c r="BE17" s="285" t="s">
        <v>280</v>
      </c>
      <c r="BF17" s="286"/>
      <c r="BG17" s="286"/>
      <c r="BH17" s="286"/>
      <c r="BI17" s="286"/>
      <c r="BJ17" s="286"/>
      <c r="BK17" s="286"/>
      <c r="BL17" s="286"/>
      <c r="BM17" s="285" t="s">
        <v>286</v>
      </c>
      <c r="BN17" s="286"/>
      <c r="BO17" s="286"/>
      <c r="BP17" s="286"/>
      <c r="BQ17" s="286"/>
      <c r="BR17" s="286"/>
      <c r="BS17" s="286"/>
      <c r="BT17" s="286"/>
      <c r="BU17" s="285" t="s">
        <v>292</v>
      </c>
      <c r="BV17" s="286"/>
      <c r="BW17" s="286"/>
      <c r="BX17" s="286"/>
      <c r="BY17" s="286"/>
      <c r="BZ17" s="286"/>
      <c r="CA17" s="286"/>
      <c r="CB17" s="286"/>
      <c r="CC17" s="285" t="s">
        <v>298</v>
      </c>
      <c r="CD17" s="286"/>
      <c r="CE17" s="286"/>
      <c r="CF17" s="286"/>
      <c r="CG17" s="286"/>
      <c r="CH17" s="286"/>
      <c r="CI17" s="286"/>
      <c r="CJ17" s="286"/>
      <c r="CK17" s="286">
        <v>312408725</v>
      </c>
      <c r="CL17" s="286"/>
      <c r="CM17" s="286"/>
      <c r="CN17" s="286"/>
      <c r="CO17" s="286"/>
      <c r="CP17" s="286"/>
      <c r="CQ17" s="286"/>
      <c r="CR17" s="286"/>
      <c r="CS17" s="271" t="s">
        <v>206</v>
      </c>
      <c r="CT17" s="272"/>
      <c r="CU17" s="298">
        <v>1370</v>
      </c>
      <c r="CV17" s="298"/>
      <c r="CW17" s="298"/>
      <c r="CX17" s="298"/>
      <c r="CY17" s="298"/>
      <c r="CZ17" s="299"/>
      <c r="DA17" s="274" t="s">
        <v>206</v>
      </c>
      <c r="DB17" s="275"/>
      <c r="DC17" s="275">
        <f t="shared" si="0"/>
        <v>1370</v>
      </c>
      <c r="DD17" s="275"/>
      <c r="DE17" s="275"/>
      <c r="DF17" s="275"/>
      <c r="DG17" s="275"/>
      <c r="DH17" s="275"/>
      <c r="DI17" s="276"/>
      <c r="DJ17" s="262" t="s">
        <v>305</v>
      </c>
      <c r="DK17" s="90"/>
      <c r="DL17" s="90"/>
      <c r="DM17" s="90"/>
      <c r="DN17" s="90"/>
      <c r="DO17" s="90"/>
      <c r="DP17" s="90"/>
      <c r="DQ17" s="90"/>
      <c r="DR17" s="90"/>
      <c r="DS17" s="90"/>
      <c r="DT17" s="263"/>
    </row>
    <row r="18" spans="1:124">
      <c r="A18" s="304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60" t="s">
        <v>230</v>
      </c>
      <c r="O18" s="102"/>
      <c r="P18" s="102"/>
      <c r="Q18" s="102"/>
      <c r="R18" s="102"/>
      <c r="S18" s="102"/>
      <c r="T18" s="102"/>
      <c r="U18" s="103"/>
      <c r="V18" s="297">
        <v>39517</v>
      </c>
      <c r="W18" s="102"/>
      <c r="X18" s="102"/>
      <c r="Y18" s="102"/>
      <c r="Z18" s="102"/>
      <c r="AA18" s="103"/>
      <c r="AB18" s="291" t="s">
        <v>252</v>
      </c>
      <c r="AC18" s="292"/>
      <c r="AD18" s="292"/>
      <c r="AE18" s="292"/>
      <c r="AF18" s="293"/>
      <c r="AG18" s="262" t="s">
        <v>256</v>
      </c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1"/>
      <c r="AW18" s="262" t="s">
        <v>274</v>
      </c>
      <c r="AX18" s="90"/>
      <c r="AY18" s="90"/>
      <c r="AZ18" s="90"/>
      <c r="BA18" s="90"/>
      <c r="BB18" s="90"/>
      <c r="BC18" s="90"/>
      <c r="BD18" s="91"/>
      <c r="BE18" s="262" t="s">
        <v>281</v>
      </c>
      <c r="BF18" s="90"/>
      <c r="BG18" s="90"/>
      <c r="BH18" s="90"/>
      <c r="BI18" s="90"/>
      <c r="BJ18" s="90"/>
      <c r="BK18" s="90"/>
      <c r="BL18" s="91"/>
      <c r="BM18" s="262" t="s">
        <v>219</v>
      </c>
      <c r="BN18" s="90"/>
      <c r="BO18" s="90"/>
      <c r="BP18" s="90"/>
      <c r="BQ18" s="90"/>
      <c r="BR18" s="90"/>
      <c r="BS18" s="90"/>
      <c r="BT18" s="91"/>
      <c r="BU18" s="262" t="s">
        <v>291</v>
      </c>
      <c r="BV18" s="90"/>
      <c r="BW18" s="90"/>
      <c r="BX18" s="90"/>
      <c r="BY18" s="90"/>
      <c r="BZ18" s="90"/>
      <c r="CA18" s="90"/>
      <c r="CB18" s="91"/>
      <c r="CC18" s="301" t="s">
        <v>299</v>
      </c>
      <c r="CD18" s="302"/>
      <c r="CE18" s="302"/>
      <c r="CF18" s="302"/>
      <c r="CG18" s="302"/>
      <c r="CH18" s="302"/>
      <c r="CI18" s="302"/>
      <c r="CJ18" s="303"/>
      <c r="CK18" s="284">
        <v>601665</v>
      </c>
      <c r="CL18" s="90"/>
      <c r="CM18" s="90"/>
      <c r="CN18" s="90"/>
      <c r="CO18" s="90"/>
      <c r="CP18" s="90"/>
      <c r="CQ18" s="90"/>
      <c r="CR18" s="91"/>
      <c r="CS18" s="271" t="s">
        <v>206</v>
      </c>
      <c r="CT18" s="272"/>
      <c r="CU18" s="298">
        <v>320500</v>
      </c>
      <c r="CV18" s="298"/>
      <c r="CW18" s="298"/>
      <c r="CX18" s="298"/>
      <c r="CY18" s="298"/>
      <c r="CZ18" s="299"/>
      <c r="DA18" s="274" t="s">
        <v>206</v>
      </c>
      <c r="DB18" s="275"/>
      <c r="DC18" s="275">
        <f t="shared" si="0"/>
        <v>320500</v>
      </c>
      <c r="DD18" s="275"/>
      <c r="DE18" s="275"/>
      <c r="DF18" s="275"/>
      <c r="DG18" s="275"/>
      <c r="DH18" s="275"/>
      <c r="DI18" s="276"/>
      <c r="DJ18" s="262" t="s">
        <v>305</v>
      </c>
      <c r="DK18" s="90"/>
      <c r="DL18" s="90"/>
      <c r="DM18" s="90"/>
      <c r="DN18" s="90"/>
      <c r="DO18" s="90"/>
      <c r="DP18" s="90"/>
      <c r="DQ18" s="90"/>
      <c r="DR18" s="90"/>
      <c r="DS18" s="90"/>
      <c r="DT18" s="263"/>
    </row>
    <row r="19" spans="1:124">
      <c r="A19" s="288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90"/>
      <c r="N19" s="260" t="s">
        <v>231</v>
      </c>
      <c r="O19" s="102"/>
      <c r="P19" s="102"/>
      <c r="Q19" s="102"/>
      <c r="R19" s="102"/>
      <c r="S19" s="102"/>
      <c r="T19" s="102"/>
      <c r="U19" s="103"/>
      <c r="V19" s="297">
        <v>39517</v>
      </c>
      <c r="W19" s="102"/>
      <c r="X19" s="102"/>
      <c r="Y19" s="102"/>
      <c r="Z19" s="102"/>
      <c r="AA19" s="103"/>
      <c r="AB19" s="291" t="s">
        <v>252</v>
      </c>
      <c r="AC19" s="292"/>
      <c r="AD19" s="292"/>
      <c r="AE19" s="292"/>
      <c r="AF19" s="293"/>
      <c r="AG19" s="262" t="s">
        <v>260</v>
      </c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1"/>
      <c r="AW19" s="284"/>
      <c r="AX19" s="90"/>
      <c r="AY19" s="90"/>
      <c r="AZ19" s="90"/>
      <c r="BA19" s="90"/>
      <c r="BB19" s="90"/>
      <c r="BC19" s="90"/>
      <c r="BD19" s="91"/>
      <c r="BE19" s="284"/>
      <c r="BF19" s="90"/>
      <c r="BG19" s="90"/>
      <c r="BH19" s="90"/>
      <c r="BI19" s="90"/>
      <c r="BJ19" s="90"/>
      <c r="BK19" s="90"/>
      <c r="BL19" s="91"/>
      <c r="BM19" s="262" t="s">
        <v>287</v>
      </c>
      <c r="BN19" s="90"/>
      <c r="BO19" s="90"/>
      <c r="BP19" s="90"/>
      <c r="BQ19" s="90"/>
      <c r="BR19" s="90"/>
      <c r="BS19" s="90"/>
      <c r="BT19" s="91"/>
      <c r="BU19" s="262" t="s">
        <v>291</v>
      </c>
      <c r="BV19" s="90"/>
      <c r="BW19" s="90"/>
      <c r="BX19" s="90"/>
      <c r="BY19" s="90"/>
      <c r="BZ19" s="90"/>
      <c r="CA19" s="90"/>
      <c r="CB19" s="91"/>
      <c r="CC19" s="284"/>
      <c r="CD19" s="90"/>
      <c r="CE19" s="90"/>
      <c r="CF19" s="90"/>
      <c r="CG19" s="90"/>
      <c r="CH19" s="90"/>
      <c r="CI19" s="90"/>
      <c r="CJ19" s="91"/>
      <c r="CK19" s="284"/>
      <c r="CL19" s="90"/>
      <c r="CM19" s="90"/>
      <c r="CN19" s="90"/>
      <c r="CO19" s="90"/>
      <c r="CP19" s="90"/>
      <c r="CQ19" s="90"/>
      <c r="CR19" s="91"/>
      <c r="CS19" s="271" t="s">
        <v>206</v>
      </c>
      <c r="CT19" s="272"/>
      <c r="CU19" s="298">
        <v>0</v>
      </c>
      <c r="CV19" s="298"/>
      <c r="CW19" s="298"/>
      <c r="CX19" s="298"/>
      <c r="CY19" s="298"/>
      <c r="CZ19" s="299"/>
      <c r="DA19" s="274" t="s">
        <v>206</v>
      </c>
      <c r="DB19" s="275"/>
      <c r="DC19" s="275">
        <f t="shared" si="0"/>
        <v>0</v>
      </c>
      <c r="DD19" s="275"/>
      <c r="DE19" s="275"/>
      <c r="DF19" s="275"/>
      <c r="DG19" s="275"/>
      <c r="DH19" s="275"/>
      <c r="DI19" s="276"/>
      <c r="DJ19" s="262" t="s">
        <v>305</v>
      </c>
      <c r="DK19" s="90"/>
      <c r="DL19" s="90"/>
      <c r="DM19" s="90"/>
      <c r="DN19" s="90"/>
      <c r="DO19" s="90"/>
      <c r="DP19" s="90"/>
      <c r="DQ19" s="90"/>
      <c r="DR19" s="90"/>
      <c r="DS19" s="90"/>
      <c r="DT19" s="263"/>
    </row>
    <row r="20" spans="1:124">
      <c r="A20" s="306" t="s">
        <v>215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90"/>
      <c r="N20" s="262" t="s">
        <v>232</v>
      </c>
      <c r="O20" s="90"/>
      <c r="P20" s="90"/>
      <c r="Q20" s="90"/>
      <c r="R20" s="90"/>
      <c r="S20" s="90"/>
      <c r="T20" s="90"/>
      <c r="U20" s="91"/>
      <c r="V20" s="307" t="s">
        <v>249</v>
      </c>
      <c r="W20" s="102"/>
      <c r="X20" s="102"/>
      <c r="Y20" s="102"/>
      <c r="Z20" s="102"/>
      <c r="AA20" s="103"/>
      <c r="AB20" s="291" t="s">
        <v>253</v>
      </c>
      <c r="AC20" s="295"/>
      <c r="AD20" s="295"/>
      <c r="AE20" s="295"/>
      <c r="AF20" s="296"/>
      <c r="AG20" s="262" t="s">
        <v>261</v>
      </c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1"/>
      <c r="AW20" s="284"/>
      <c r="AX20" s="90"/>
      <c r="AY20" s="90"/>
      <c r="AZ20" s="90"/>
      <c r="BA20" s="90"/>
      <c r="BB20" s="90"/>
      <c r="BC20" s="90"/>
      <c r="BD20" s="91"/>
      <c r="BE20" s="284"/>
      <c r="BF20" s="90"/>
      <c r="BG20" s="90"/>
      <c r="BH20" s="90"/>
      <c r="BI20" s="90"/>
      <c r="BJ20" s="90"/>
      <c r="BK20" s="90"/>
      <c r="BL20" s="91"/>
      <c r="BM20" s="262" t="s">
        <v>219</v>
      </c>
      <c r="BN20" s="90"/>
      <c r="BO20" s="90"/>
      <c r="BP20" s="90"/>
      <c r="BQ20" s="90"/>
      <c r="BR20" s="90"/>
      <c r="BS20" s="90"/>
      <c r="BT20" s="91"/>
      <c r="BU20" s="262" t="s">
        <v>293</v>
      </c>
      <c r="BV20" s="90"/>
      <c r="BW20" s="90"/>
      <c r="BX20" s="90"/>
      <c r="BY20" s="90"/>
      <c r="BZ20" s="90"/>
      <c r="CA20" s="90"/>
      <c r="CB20" s="91"/>
      <c r="CC20" s="284"/>
      <c r="CD20" s="90"/>
      <c r="CE20" s="90"/>
      <c r="CF20" s="90"/>
      <c r="CG20" s="90"/>
      <c r="CH20" s="90"/>
      <c r="CI20" s="90"/>
      <c r="CJ20" s="91"/>
      <c r="CK20" s="284"/>
      <c r="CL20" s="90"/>
      <c r="CM20" s="90"/>
      <c r="CN20" s="90"/>
      <c r="CO20" s="90"/>
      <c r="CP20" s="90"/>
      <c r="CQ20" s="90"/>
      <c r="CR20" s="91"/>
      <c r="CS20" s="271" t="s">
        <v>206</v>
      </c>
      <c r="CT20" s="272"/>
      <c r="CU20" s="298">
        <v>1590</v>
      </c>
      <c r="CV20" s="298"/>
      <c r="CW20" s="298"/>
      <c r="CX20" s="298"/>
      <c r="CY20" s="298"/>
      <c r="CZ20" s="299"/>
      <c r="DA20" s="274" t="s">
        <v>206</v>
      </c>
      <c r="DB20" s="275"/>
      <c r="DC20" s="275">
        <f t="shared" si="0"/>
        <v>7950</v>
      </c>
      <c r="DD20" s="275"/>
      <c r="DE20" s="275"/>
      <c r="DF20" s="275"/>
      <c r="DG20" s="275"/>
      <c r="DH20" s="275"/>
      <c r="DI20" s="276"/>
      <c r="DJ20" s="262" t="s">
        <v>305</v>
      </c>
      <c r="DK20" s="90"/>
      <c r="DL20" s="90"/>
      <c r="DM20" s="90"/>
      <c r="DN20" s="90"/>
      <c r="DO20" s="90"/>
      <c r="DP20" s="90"/>
      <c r="DQ20" s="90"/>
      <c r="DR20" s="90"/>
      <c r="DS20" s="90"/>
      <c r="DT20" s="263"/>
    </row>
    <row r="21" spans="1:124">
      <c r="A21" s="308" t="s">
        <v>222</v>
      </c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309" t="s">
        <v>233</v>
      </c>
      <c r="O21" s="90"/>
      <c r="P21" s="90"/>
      <c r="Q21" s="90"/>
      <c r="R21" s="90"/>
      <c r="S21" s="90"/>
      <c r="T21" s="90"/>
      <c r="U21" s="91"/>
      <c r="V21" s="307" t="s">
        <v>249</v>
      </c>
      <c r="W21" s="102"/>
      <c r="X21" s="102"/>
      <c r="Y21" s="102"/>
      <c r="Z21" s="102"/>
      <c r="AA21" s="103"/>
      <c r="AB21" s="291" t="s">
        <v>217</v>
      </c>
      <c r="AC21" s="295"/>
      <c r="AD21" s="295"/>
      <c r="AE21" s="295"/>
      <c r="AF21" s="296"/>
      <c r="AG21" s="262" t="s">
        <v>262</v>
      </c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1"/>
      <c r="AW21" s="284"/>
      <c r="AX21" s="90"/>
      <c r="AY21" s="90"/>
      <c r="AZ21" s="90"/>
      <c r="BA21" s="90"/>
      <c r="BB21" s="90"/>
      <c r="BC21" s="90"/>
      <c r="BD21" s="91"/>
      <c r="BE21" s="284"/>
      <c r="BF21" s="90"/>
      <c r="BG21" s="90"/>
      <c r="BH21" s="90"/>
      <c r="BI21" s="90"/>
      <c r="BJ21" s="90"/>
      <c r="BK21" s="90"/>
      <c r="BL21" s="91"/>
      <c r="BM21" s="262" t="s">
        <v>288</v>
      </c>
      <c r="BN21" s="90"/>
      <c r="BO21" s="90"/>
      <c r="BP21" s="90"/>
      <c r="BQ21" s="90"/>
      <c r="BR21" s="90"/>
      <c r="BS21" s="90"/>
      <c r="BT21" s="91"/>
      <c r="BU21" s="262" t="s">
        <v>291</v>
      </c>
      <c r="BV21" s="90"/>
      <c r="BW21" s="90"/>
      <c r="BX21" s="90"/>
      <c r="BY21" s="90"/>
      <c r="BZ21" s="90"/>
      <c r="CA21" s="90"/>
      <c r="CB21" s="91"/>
      <c r="CC21" s="284"/>
      <c r="CD21" s="90"/>
      <c r="CE21" s="90"/>
      <c r="CF21" s="90"/>
      <c r="CG21" s="90"/>
      <c r="CH21" s="90"/>
      <c r="CI21" s="90"/>
      <c r="CJ21" s="91"/>
      <c r="CK21" s="284"/>
      <c r="CL21" s="90"/>
      <c r="CM21" s="90"/>
      <c r="CN21" s="90"/>
      <c r="CO21" s="90"/>
      <c r="CP21" s="90"/>
      <c r="CQ21" s="90"/>
      <c r="CR21" s="91"/>
      <c r="CS21" s="271" t="s">
        <v>206</v>
      </c>
      <c r="CT21" s="272"/>
      <c r="CU21" s="298">
        <v>1275</v>
      </c>
      <c r="CV21" s="298"/>
      <c r="CW21" s="298"/>
      <c r="CX21" s="298"/>
      <c r="CY21" s="298"/>
      <c r="CZ21" s="299"/>
      <c r="DA21" s="274" t="s">
        <v>206</v>
      </c>
      <c r="DB21" s="275"/>
      <c r="DC21" s="275">
        <f t="shared" si="0"/>
        <v>2550</v>
      </c>
      <c r="DD21" s="275"/>
      <c r="DE21" s="275"/>
      <c r="DF21" s="275"/>
      <c r="DG21" s="275"/>
      <c r="DH21" s="275"/>
      <c r="DI21" s="276"/>
      <c r="DJ21" s="262" t="s">
        <v>305</v>
      </c>
      <c r="DK21" s="90"/>
      <c r="DL21" s="90"/>
      <c r="DM21" s="90"/>
      <c r="DN21" s="90"/>
      <c r="DO21" s="90"/>
      <c r="DP21" s="90"/>
      <c r="DQ21" s="90"/>
      <c r="DR21" s="90"/>
      <c r="DS21" s="90"/>
      <c r="DT21" s="263"/>
    </row>
    <row r="22" spans="1:124">
      <c r="A22" s="304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310" t="s">
        <v>234</v>
      </c>
      <c r="O22" s="286"/>
      <c r="P22" s="286"/>
      <c r="Q22" s="286"/>
      <c r="R22" s="286"/>
      <c r="S22" s="286"/>
      <c r="T22" s="286"/>
      <c r="U22" s="286"/>
      <c r="V22" s="311">
        <v>34133</v>
      </c>
      <c r="W22" s="102"/>
      <c r="X22" s="102"/>
      <c r="Y22" s="102"/>
      <c r="Z22" s="102"/>
      <c r="AA22" s="103"/>
      <c r="AB22" s="312" t="s">
        <v>252</v>
      </c>
      <c r="AC22" s="313"/>
      <c r="AD22" s="313"/>
      <c r="AE22" s="313"/>
      <c r="AF22" s="313"/>
      <c r="AG22" s="285" t="s">
        <v>263</v>
      </c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6"/>
      <c r="BD22" s="286"/>
      <c r="BE22" s="286"/>
      <c r="BF22" s="286"/>
      <c r="BG22" s="286"/>
      <c r="BH22" s="286"/>
      <c r="BI22" s="286"/>
      <c r="BJ22" s="286"/>
      <c r="BK22" s="286"/>
      <c r="BL22" s="286"/>
      <c r="BM22" s="286"/>
      <c r="BN22" s="286"/>
      <c r="BO22" s="286"/>
      <c r="BP22" s="286"/>
      <c r="BQ22" s="286"/>
      <c r="BR22" s="286"/>
      <c r="BS22" s="286"/>
      <c r="BT22" s="286"/>
      <c r="BU22" s="285" t="s">
        <v>294</v>
      </c>
      <c r="BV22" s="286"/>
      <c r="BW22" s="286"/>
      <c r="BX22" s="286"/>
      <c r="BY22" s="286"/>
      <c r="BZ22" s="286"/>
      <c r="CA22" s="286"/>
      <c r="CB22" s="286"/>
      <c r="CC22" s="286"/>
      <c r="CD22" s="286"/>
      <c r="CE22" s="286"/>
      <c r="CF22" s="286"/>
      <c r="CG22" s="286"/>
      <c r="CH22" s="286"/>
      <c r="CI22" s="286"/>
      <c r="CJ22" s="286"/>
      <c r="CK22" s="286"/>
      <c r="CL22" s="286"/>
      <c r="CM22" s="286"/>
      <c r="CN22" s="286"/>
      <c r="CO22" s="286"/>
      <c r="CP22" s="286"/>
      <c r="CQ22" s="286"/>
      <c r="CR22" s="286"/>
      <c r="CS22" s="271" t="s">
        <v>206</v>
      </c>
      <c r="CT22" s="272"/>
      <c r="CU22" s="298">
        <v>150</v>
      </c>
      <c r="CV22" s="298"/>
      <c r="CW22" s="298"/>
      <c r="CX22" s="298"/>
      <c r="CY22" s="298"/>
      <c r="CZ22" s="299"/>
      <c r="DA22" s="274" t="s">
        <v>206</v>
      </c>
      <c r="DB22" s="275"/>
      <c r="DC22" s="275">
        <f t="shared" si="0"/>
        <v>150</v>
      </c>
      <c r="DD22" s="275"/>
      <c r="DE22" s="275"/>
      <c r="DF22" s="275"/>
      <c r="DG22" s="275"/>
      <c r="DH22" s="275"/>
      <c r="DI22" s="276"/>
      <c r="DJ22" s="262" t="s">
        <v>305</v>
      </c>
      <c r="DK22" s="90"/>
      <c r="DL22" s="90"/>
      <c r="DM22" s="90"/>
      <c r="DN22" s="90"/>
      <c r="DO22" s="90"/>
      <c r="DP22" s="90"/>
      <c r="DQ22" s="90"/>
      <c r="DR22" s="90"/>
      <c r="DS22" s="90"/>
      <c r="DT22" s="263"/>
    </row>
    <row r="23" spans="1:124">
      <c r="A23" s="304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310" t="s">
        <v>235</v>
      </c>
      <c r="O23" s="286"/>
      <c r="P23" s="286"/>
      <c r="Q23" s="286"/>
      <c r="R23" s="286"/>
      <c r="S23" s="286"/>
      <c r="T23" s="286"/>
      <c r="U23" s="286"/>
      <c r="V23" s="316">
        <v>1988</v>
      </c>
      <c r="W23" s="102"/>
      <c r="X23" s="102"/>
      <c r="Y23" s="102"/>
      <c r="Z23" s="102"/>
      <c r="AA23" s="103"/>
      <c r="AB23" s="312" t="s">
        <v>252</v>
      </c>
      <c r="AC23" s="313"/>
      <c r="AD23" s="313"/>
      <c r="AE23" s="313"/>
      <c r="AF23" s="313"/>
      <c r="AG23" s="285" t="s">
        <v>264</v>
      </c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5" t="s">
        <v>295</v>
      </c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/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71" t="s">
        <v>206</v>
      </c>
      <c r="CT23" s="272"/>
      <c r="CU23" s="298">
        <v>30</v>
      </c>
      <c r="CV23" s="298"/>
      <c r="CW23" s="298"/>
      <c r="CX23" s="298"/>
      <c r="CY23" s="298"/>
      <c r="CZ23" s="299"/>
      <c r="DA23" s="274" t="s">
        <v>206</v>
      </c>
      <c r="DB23" s="275"/>
      <c r="DC23" s="275">
        <f t="shared" si="0"/>
        <v>30</v>
      </c>
      <c r="DD23" s="275"/>
      <c r="DE23" s="275"/>
      <c r="DF23" s="275"/>
      <c r="DG23" s="275"/>
      <c r="DH23" s="275"/>
      <c r="DI23" s="276"/>
      <c r="DJ23" s="262" t="s">
        <v>305</v>
      </c>
      <c r="DK23" s="314"/>
      <c r="DL23" s="314"/>
      <c r="DM23" s="314"/>
      <c r="DN23" s="314"/>
      <c r="DO23" s="314"/>
      <c r="DP23" s="314"/>
      <c r="DQ23" s="314"/>
      <c r="DR23" s="314"/>
      <c r="DS23" s="314"/>
      <c r="DT23" s="315"/>
    </row>
    <row r="24" spans="1:124">
      <c r="A24" s="288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90"/>
      <c r="N24" s="310" t="s">
        <v>236</v>
      </c>
      <c r="O24" s="286"/>
      <c r="P24" s="286"/>
      <c r="Q24" s="286"/>
      <c r="R24" s="286"/>
      <c r="S24" s="286"/>
      <c r="T24" s="286"/>
      <c r="U24" s="286"/>
      <c r="V24" s="316">
        <v>2001</v>
      </c>
      <c r="W24" s="102"/>
      <c r="X24" s="102"/>
      <c r="Y24" s="102"/>
      <c r="Z24" s="102"/>
      <c r="AA24" s="103"/>
      <c r="AB24" s="291" t="s">
        <v>252</v>
      </c>
      <c r="AC24" s="295"/>
      <c r="AD24" s="295"/>
      <c r="AE24" s="295"/>
      <c r="AF24" s="296"/>
      <c r="AG24" s="262" t="s">
        <v>265</v>
      </c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1"/>
      <c r="AW24" s="284"/>
      <c r="AX24" s="90"/>
      <c r="AY24" s="90"/>
      <c r="AZ24" s="90"/>
      <c r="BA24" s="90"/>
      <c r="BB24" s="90"/>
      <c r="BC24" s="90"/>
      <c r="BD24" s="91"/>
      <c r="BE24" s="284"/>
      <c r="BF24" s="90"/>
      <c r="BG24" s="90"/>
      <c r="BH24" s="90"/>
      <c r="BI24" s="90"/>
      <c r="BJ24" s="90"/>
      <c r="BK24" s="90"/>
      <c r="BL24" s="91"/>
      <c r="BM24" s="284"/>
      <c r="BN24" s="90"/>
      <c r="BO24" s="90"/>
      <c r="BP24" s="90"/>
      <c r="BQ24" s="90"/>
      <c r="BR24" s="90"/>
      <c r="BS24" s="90"/>
      <c r="BT24" s="91"/>
      <c r="BU24" s="262" t="s">
        <v>294</v>
      </c>
      <c r="BV24" s="90"/>
      <c r="BW24" s="90"/>
      <c r="BX24" s="90"/>
      <c r="BY24" s="90"/>
      <c r="BZ24" s="90"/>
      <c r="CA24" s="90"/>
      <c r="CB24" s="91"/>
      <c r="CC24" s="284"/>
      <c r="CD24" s="90"/>
      <c r="CE24" s="90"/>
      <c r="CF24" s="90"/>
      <c r="CG24" s="90"/>
      <c r="CH24" s="90"/>
      <c r="CI24" s="90"/>
      <c r="CJ24" s="91"/>
      <c r="CK24" s="284"/>
      <c r="CL24" s="90"/>
      <c r="CM24" s="90"/>
      <c r="CN24" s="90"/>
      <c r="CO24" s="90"/>
      <c r="CP24" s="90"/>
      <c r="CQ24" s="90"/>
      <c r="CR24" s="91"/>
      <c r="CS24" s="271" t="s">
        <v>206</v>
      </c>
      <c r="CT24" s="272"/>
      <c r="CU24" s="298">
        <v>250</v>
      </c>
      <c r="CV24" s="298"/>
      <c r="CW24" s="298"/>
      <c r="CX24" s="298"/>
      <c r="CY24" s="298"/>
      <c r="CZ24" s="299"/>
      <c r="DA24" s="274" t="s">
        <v>206</v>
      </c>
      <c r="DB24" s="275"/>
      <c r="DC24" s="275">
        <f t="shared" si="0"/>
        <v>250</v>
      </c>
      <c r="DD24" s="275"/>
      <c r="DE24" s="275"/>
      <c r="DF24" s="275"/>
      <c r="DG24" s="275"/>
      <c r="DH24" s="275"/>
      <c r="DI24" s="276"/>
      <c r="DJ24" s="262" t="s">
        <v>305</v>
      </c>
      <c r="DK24" s="314"/>
      <c r="DL24" s="314"/>
      <c r="DM24" s="314"/>
      <c r="DN24" s="314"/>
      <c r="DO24" s="314"/>
      <c r="DP24" s="314"/>
      <c r="DQ24" s="314"/>
      <c r="DR24" s="314"/>
      <c r="DS24" s="314"/>
      <c r="DT24" s="315"/>
    </row>
    <row r="25" spans="1:124">
      <c r="A25" s="288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90"/>
      <c r="N25" s="310" t="s">
        <v>237</v>
      </c>
      <c r="O25" s="286"/>
      <c r="P25" s="286"/>
      <c r="Q25" s="286"/>
      <c r="R25" s="286"/>
      <c r="S25" s="286"/>
      <c r="T25" s="286"/>
      <c r="U25" s="286"/>
      <c r="V25" s="316">
        <v>2001</v>
      </c>
      <c r="W25" s="102"/>
      <c r="X25" s="102"/>
      <c r="Y25" s="102"/>
      <c r="Z25" s="102"/>
      <c r="AA25" s="103"/>
      <c r="AB25" s="291" t="s">
        <v>252</v>
      </c>
      <c r="AC25" s="295"/>
      <c r="AD25" s="295"/>
      <c r="AE25" s="295"/>
      <c r="AF25" s="296"/>
      <c r="AG25" s="262" t="s">
        <v>266</v>
      </c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1"/>
      <c r="AW25" s="284"/>
      <c r="AX25" s="90"/>
      <c r="AY25" s="90"/>
      <c r="AZ25" s="90"/>
      <c r="BA25" s="90"/>
      <c r="BB25" s="90"/>
      <c r="BC25" s="90"/>
      <c r="BD25" s="91"/>
      <c r="BE25" s="284"/>
      <c r="BF25" s="90"/>
      <c r="BG25" s="90"/>
      <c r="BH25" s="90"/>
      <c r="BI25" s="90"/>
      <c r="BJ25" s="90"/>
      <c r="BK25" s="90"/>
      <c r="BL25" s="91"/>
      <c r="BM25" s="284"/>
      <c r="BN25" s="90"/>
      <c r="BO25" s="90"/>
      <c r="BP25" s="90"/>
      <c r="BQ25" s="90"/>
      <c r="BR25" s="90"/>
      <c r="BS25" s="90"/>
      <c r="BT25" s="91"/>
      <c r="BU25" s="262" t="s">
        <v>291</v>
      </c>
      <c r="BV25" s="90"/>
      <c r="BW25" s="90"/>
      <c r="BX25" s="90"/>
      <c r="BY25" s="90"/>
      <c r="BZ25" s="90"/>
      <c r="CA25" s="90"/>
      <c r="CB25" s="91"/>
      <c r="CC25" s="284"/>
      <c r="CD25" s="90"/>
      <c r="CE25" s="90"/>
      <c r="CF25" s="90"/>
      <c r="CG25" s="90"/>
      <c r="CH25" s="90"/>
      <c r="CI25" s="90"/>
      <c r="CJ25" s="91"/>
      <c r="CK25" s="284"/>
      <c r="CL25" s="90"/>
      <c r="CM25" s="90"/>
      <c r="CN25" s="90"/>
      <c r="CO25" s="90"/>
      <c r="CP25" s="90"/>
      <c r="CQ25" s="90"/>
      <c r="CR25" s="91"/>
      <c r="CS25" s="271" t="s">
        <v>206</v>
      </c>
      <c r="CT25" s="272"/>
      <c r="CU25" s="298">
        <v>250</v>
      </c>
      <c r="CV25" s="298"/>
      <c r="CW25" s="298"/>
      <c r="CX25" s="298"/>
      <c r="CY25" s="298"/>
      <c r="CZ25" s="299"/>
      <c r="DA25" s="274" t="s">
        <v>206</v>
      </c>
      <c r="DB25" s="275"/>
      <c r="DC25" s="275">
        <f t="shared" si="0"/>
        <v>250</v>
      </c>
      <c r="DD25" s="275"/>
      <c r="DE25" s="275"/>
      <c r="DF25" s="275"/>
      <c r="DG25" s="275"/>
      <c r="DH25" s="275"/>
      <c r="DI25" s="276"/>
      <c r="DJ25" s="262" t="s">
        <v>305</v>
      </c>
      <c r="DK25" s="314"/>
      <c r="DL25" s="314"/>
      <c r="DM25" s="314"/>
      <c r="DN25" s="314"/>
      <c r="DO25" s="314"/>
      <c r="DP25" s="314"/>
      <c r="DQ25" s="314"/>
      <c r="DR25" s="314"/>
      <c r="DS25" s="314"/>
      <c r="DT25" s="315"/>
    </row>
    <row r="26" spans="1:124">
      <c r="A26" s="304"/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310" t="s">
        <v>238</v>
      </c>
      <c r="O26" s="286"/>
      <c r="P26" s="286"/>
      <c r="Q26" s="286"/>
      <c r="R26" s="286"/>
      <c r="S26" s="286"/>
      <c r="T26" s="286"/>
      <c r="U26" s="286"/>
      <c r="V26" s="316">
        <v>2001</v>
      </c>
      <c r="W26" s="102"/>
      <c r="X26" s="102"/>
      <c r="Y26" s="102"/>
      <c r="Z26" s="102"/>
      <c r="AA26" s="103"/>
      <c r="AB26" s="312" t="s">
        <v>252</v>
      </c>
      <c r="AC26" s="313"/>
      <c r="AD26" s="313"/>
      <c r="AE26" s="313"/>
      <c r="AF26" s="313"/>
      <c r="AG26" s="285" t="s">
        <v>267</v>
      </c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6"/>
      <c r="BD26" s="286"/>
      <c r="BE26" s="286"/>
      <c r="BF26" s="286"/>
      <c r="BG26" s="286"/>
      <c r="BH26" s="286"/>
      <c r="BI26" s="286"/>
      <c r="BJ26" s="286"/>
      <c r="BK26" s="286"/>
      <c r="BL26" s="286"/>
      <c r="BM26" s="286"/>
      <c r="BN26" s="286"/>
      <c r="BO26" s="286"/>
      <c r="BP26" s="286"/>
      <c r="BQ26" s="286"/>
      <c r="BR26" s="286"/>
      <c r="BS26" s="286"/>
      <c r="BT26" s="286"/>
      <c r="BU26" s="285" t="s">
        <v>292</v>
      </c>
      <c r="BV26" s="286"/>
      <c r="BW26" s="286"/>
      <c r="BX26" s="286"/>
      <c r="BY26" s="286"/>
      <c r="BZ26" s="286"/>
      <c r="CA26" s="286"/>
      <c r="CB26" s="286"/>
      <c r="CC26" s="286"/>
      <c r="CD26" s="286"/>
      <c r="CE26" s="286"/>
      <c r="CF26" s="286"/>
      <c r="CG26" s="286"/>
      <c r="CH26" s="286"/>
      <c r="CI26" s="286"/>
      <c r="CJ26" s="286"/>
      <c r="CK26" s="286"/>
      <c r="CL26" s="286"/>
      <c r="CM26" s="286"/>
      <c r="CN26" s="286"/>
      <c r="CO26" s="286"/>
      <c r="CP26" s="286"/>
      <c r="CQ26" s="286"/>
      <c r="CR26" s="286"/>
      <c r="CS26" s="271" t="s">
        <v>206</v>
      </c>
      <c r="CT26" s="272"/>
      <c r="CU26" s="298">
        <v>285</v>
      </c>
      <c r="CV26" s="298"/>
      <c r="CW26" s="298"/>
      <c r="CX26" s="298"/>
      <c r="CY26" s="298"/>
      <c r="CZ26" s="299"/>
      <c r="DA26" s="274" t="s">
        <v>206</v>
      </c>
      <c r="DB26" s="275"/>
      <c r="DC26" s="275">
        <f t="shared" si="0"/>
        <v>285</v>
      </c>
      <c r="DD26" s="275"/>
      <c r="DE26" s="275"/>
      <c r="DF26" s="275"/>
      <c r="DG26" s="275"/>
      <c r="DH26" s="275"/>
      <c r="DI26" s="276"/>
      <c r="DJ26" s="262" t="s">
        <v>305</v>
      </c>
      <c r="DK26" s="314"/>
      <c r="DL26" s="314"/>
      <c r="DM26" s="314"/>
      <c r="DN26" s="314"/>
      <c r="DO26" s="314"/>
      <c r="DP26" s="314"/>
      <c r="DQ26" s="314"/>
      <c r="DR26" s="314"/>
      <c r="DS26" s="314"/>
      <c r="DT26" s="315"/>
    </row>
    <row r="27" spans="1:124">
      <c r="A27" s="304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310" t="s">
        <v>239</v>
      </c>
      <c r="O27" s="286"/>
      <c r="P27" s="286"/>
      <c r="Q27" s="286"/>
      <c r="R27" s="286"/>
      <c r="S27" s="286"/>
      <c r="T27" s="286"/>
      <c r="U27" s="286"/>
      <c r="V27" s="311">
        <v>37558</v>
      </c>
      <c r="W27" s="102"/>
      <c r="X27" s="102"/>
      <c r="Y27" s="102"/>
      <c r="Z27" s="102"/>
      <c r="AA27" s="103"/>
      <c r="AB27" s="312" t="s">
        <v>252</v>
      </c>
      <c r="AC27" s="313"/>
      <c r="AD27" s="313"/>
      <c r="AE27" s="313"/>
      <c r="AF27" s="313"/>
      <c r="AG27" s="285" t="s">
        <v>268</v>
      </c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5" t="s">
        <v>289</v>
      </c>
      <c r="BN27" s="286"/>
      <c r="BO27" s="286"/>
      <c r="BP27" s="286"/>
      <c r="BQ27" s="286"/>
      <c r="BR27" s="286"/>
      <c r="BS27" s="286"/>
      <c r="BT27" s="286"/>
      <c r="BU27" s="285" t="s">
        <v>296</v>
      </c>
      <c r="BV27" s="286"/>
      <c r="BW27" s="286"/>
      <c r="BX27" s="286"/>
      <c r="BY27" s="286"/>
      <c r="BZ27" s="286"/>
      <c r="CA27" s="286"/>
      <c r="CB27" s="286"/>
      <c r="CC27" s="285" t="s">
        <v>381</v>
      </c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71" t="s">
        <v>206</v>
      </c>
      <c r="CT27" s="272"/>
      <c r="CU27" s="298">
        <v>21000</v>
      </c>
      <c r="CV27" s="298"/>
      <c r="CW27" s="298"/>
      <c r="CX27" s="298"/>
      <c r="CY27" s="298"/>
      <c r="CZ27" s="299"/>
      <c r="DA27" s="274" t="s">
        <v>206</v>
      </c>
      <c r="DB27" s="275"/>
      <c r="DC27" s="275">
        <f t="shared" si="0"/>
        <v>21000</v>
      </c>
      <c r="DD27" s="275"/>
      <c r="DE27" s="275"/>
      <c r="DF27" s="275"/>
      <c r="DG27" s="275"/>
      <c r="DH27" s="275"/>
      <c r="DI27" s="276"/>
      <c r="DJ27" s="262" t="s">
        <v>305</v>
      </c>
      <c r="DK27" s="314"/>
      <c r="DL27" s="314"/>
      <c r="DM27" s="314"/>
      <c r="DN27" s="314"/>
      <c r="DO27" s="314"/>
      <c r="DP27" s="314"/>
      <c r="DQ27" s="314"/>
      <c r="DR27" s="314"/>
      <c r="DS27" s="314"/>
      <c r="DT27" s="315"/>
    </row>
    <row r="28" spans="1:124">
      <c r="A28" s="304"/>
      <c r="B28" s="229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310" t="s">
        <v>240</v>
      </c>
      <c r="O28" s="286"/>
      <c r="P28" s="286"/>
      <c r="Q28" s="286"/>
      <c r="R28" s="286"/>
      <c r="S28" s="286"/>
      <c r="T28" s="286"/>
      <c r="U28" s="286"/>
      <c r="V28" s="311">
        <v>37759</v>
      </c>
      <c r="W28" s="102"/>
      <c r="X28" s="102"/>
      <c r="Y28" s="102"/>
      <c r="Z28" s="102"/>
      <c r="AA28" s="103"/>
      <c r="AB28" s="312" t="s">
        <v>252</v>
      </c>
      <c r="AC28" s="313"/>
      <c r="AD28" s="313"/>
      <c r="AE28" s="313"/>
      <c r="AF28" s="313"/>
      <c r="AG28" s="285" t="s">
        <v>269</v>
      </c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5" t="s">
        <v>276</v>
      </c>
      <c r="AX28" s="286"/>
      <c r="AY28" s="286"/>
      <c r="AZ28" s="286"/>
      <c r="BA28" s="286"/>
      <c r="BB28" s="286"/>
      <c r="BC28" s="286"/>
      <c r="BD28" s="286"/>
      <c r="BE28" s="285" t="s">
        <v>282</v>
      </c>
      <c r="BF28" s="286"/>
      <c r="BG28" s="286"/>
      <c r="BH28" s="286"/>
      <c r="BI28" s="286"/>
      <c r="BJ28" s="286"/>
      <c r="BK28" s="286"/>
      <c r="BL28" s="286"/>
      <c r="BM28" s="285" t="s">
        <v>286</v>
      </c>
      <c r="BN28" s="286"/>
      <c r="BO28" s="286"/>
      <c r="BP28" s="286"/>
      <c r="BQ28" s="286"/>
      <c r="BR28" s="286"/>
      <c r="BS28" s="286"/>
      <c r="BT28" s="286"/>
      <c r="BU28" s="285" t="s">
        <v>220</v>
      </c>
      <c r="BV28" s="286"/>
      <c r="BW28" s="286"/>
      <c r="BX28" s="286"/>
      <c r="BY28" s="286"/>
      <c r="BZ28" s="286"/>
      <c r="CA28" s="286"/>
      <c r="CB28" s="286"/>
      <c r="CC28" s="285" t="s">
        <v>300</v>
      </c>
      <c r="CD28" s="286"/>
      <c r="CE28" s="286"/>
      <c r="CF28" s="286"/>
      <c r="CG28" s="286"/>
      <c r="CH28" s="286"/>
      <c r="CI28" s="286"/>
      <c r="CJ28" s="286"/>
      <c r="CK28" s="285" t="s">
        <v>302</v>
      </c>
      <c r="CL28" s="286"/>
      <c r="CM28" s="286"/>
      <c r="CN28" s="286"/>
      <c r="CO28" s="286"/>
      <c r="CP28" s="286"/>
      <c r="CQ28" s="286"/>
      <c r="CR28" s="286"/>
      <c r="CS28" s="271" t="s">
        <v>206</v>
      </c>
      <c r="CT28" s="272"/>
      <c r="CU28" s="298">
        <v>1930</v>
      </c>
      <c r="CV28" s="298"/>
      <c r="CW28" s="298"/>
      <c r="CX28" s="298"/>
      <c r="CY28" s="298"/>
      <c r="CZ28" s="299"/>
      <c r="DA28" s="274" t="s">
        <v>206</v>
      </c>
      <c r="DB28" s="275"/>
      <c r="DC28" s="275">
        <f t="shared" si="0"/>
        <v>1930</v>
      </c>
      <c r="DD28" s="275"/>
      <c r="DE28" s="275"/>
      <c r="DF28" s="275"/>
      <c r="DG28" s="275"/>
      <c r="DH28" s="275"/>
      <c r="DI28" s="276"/>
      <c r="DJ28" s="262" t="s">
        <v>305</v>
      </c>
      <c r="DK28" s="314"/>
      <c r="DL28" s="314"/>
      <c r="DM28" s="314"/>
      <c r="DN28" s="314"/>
      <c r="DO28" s="314"/>
      <c r="DP28" s="314"/>
      <c r="DQ28" s="314"/>
      <c r="DR28" s="314"/>
      <c r="DS28" s="314"/>
      <c r="DT28" s="315"/>
    </row>
    <row r="29" spans="1:124">
      <c r="A29" s="304"/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310" t="s">
        <v>241</v>
      </c>
      <c r="O29" s="286"/>
      <c r="P29" s="286"/>
      <c r="Q29" s="286"/>
      <c r="R29" s="286"/>
      <c r="S29" s="286"/>
      <c r="T29" s="286"/>
      <c r="U29" s="286"/>
      <c r="V29" s="317" t="s">
        <v>250</v>
      </c>
      <c r="W29" s="102"/>
      <c r="X29" s="102"/>
      <c r="Y29" s="102"/>
      <c r="Z29" s="102"/>
      <c r="AA29" s="103"/>
      <c r="AB29" s="312" t="s">
        <v>252</v>
      </c>
      <c r="AC29" s="313"/>
      <c r="AD29" s="313"/>
      <c r="AE29" s="313"/>
      <c r="AF29" s="313"/>
      <c r="AG29" s="285" t="s">
        <v>270</v>
      </c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6"/>
      <c r="BD29" s="286"/>
      <c r="BE29" s="286"/>
      <c r="BF29" s="286"/>
      <c r="BG29" s="286"/>
      <c r="BH29" s="286"/>
      <c r="BI29" s="286"/>
      <c r="BJ29" s="286"/>
      <c r="BK29" s="286"/>
      <c r="BL29" s="286"/>
      <c r="BM29" s="286"/>
      <c r="BN29" s="286"/>
      <c r="BO29" s="286"/>
      <c r="BP29" s="286"/>
      <c r="BQ29" s="286"/>
      <c r="BR29" s="286"/>
      <c r="BS29" s="286"/>
      <c r="BT29" s="286"/>
      <c r="BU29" s="285" t="s">
        <v>292</v>
      </c>
      <c r="BV29" s="286"/>
      <c r="BW29" s="286"/>
      <c r="BX29" s="286"/>
      <c r="BY29" s="286"/>
      <c r="BZ29" s="286"/>
      <c r="CA29" s="286"/>
      <c r="CB29" s="286"/>
      <c r="CC29" s="286"/>
      <c r="CD29" s="286"/>
      <c r="CE29" s="286"/>
      <c r="CF29" s="286"/>
      <c r="CG29" s="286"/>
      <c r="CH29" s="286"/>
      <c r="CI29" s="286"/>
      <c r="CJ29" s="286"/>
      <c r="CK29" s="286"/>
      <c r="CL29" s="286"/>
      <c r="CM29" s="286"/>
      <c r="CN29" s="286"/>
      <c r="CO29" s="286"/>
      <c r="CP29" s="286"/>
      <c r="CQ29" s="286"/>
      <c r="CR29" s="286"/>
      <c r="CS29" s="271" t="s">
        <v>206</v>
      </c>
      <c r="CT29" s="272"/>
      <c r="CU29" s="298">
        <v>250</v>
      </c>
      <c r="CV29" s="298"/>
      <c r="CW29" s="298"/>
      <c r="CX29" s="298"/>
      <c r="CY29" s="298"/>
      <c r="CZ29" s="299"/>
      <c r="DA29" s="274" t="s">
        <v>206</v>
      </c>
      <c r="DB29" s="275"/>
      <c r="DC29" s="275">
        <f t="shared" si="0"/>
        <v>250</v>
      </c>
      <c r="DD29" s="275"/>
      <c r="DE29" s="275"/>
      <c r="DF29" s="275"/>
      <c r="DG29" s="275"/>
      <c r="DH29" s="275"/>
      <c r="DI29" s="276"/>
      <c r="DJ29" s="262" t="s">
        <v>305</v>
      </c>
      <c r="DK29" s="314"/>
      <c r="DL29" s="314"/>
      <c r="DM29" s="314"/>
      <c r="DN29" s="314"/>
      <c r="DO29" s="314"/>
      <c r="DP29" s="314"/>
      <c r="DQ29" s="314"/>
      <c r="DR29" s="314"/>
      <c r="DS29" s="314"/>
      <c r="DT29" s="315"/>
    </row>
    <row r="30" spans="1:124">
      <c r="A30" s="304"/>
      <c r="B30" s="229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310" t="s">
        <v>242</v>
      </c>
      <c r="O30" s="286"/>
      <c r="P30" s="286"/>
      <c r="Q30" s="286"/>
      <c r="R30" s="286"/>
      <c r="S30" s="286"/>
      <c r="T30" s="286"/>
      <c r="U30" s="286"/>
      <c r="V30" s="317" t="s">
        <v>250</v>
      </c>
      <c r="W30" s="102"/>
      <c r="X30" s="102"/>
      <c r="Y30" s="102"/>
      <c r="Z30" s="102"/>
      <c r="AA30" s="103"/>
      <c r="AB30" s="312" t="s">
        <v>252</v>
      </c>
      <c r="AC30" s="313"/>
      <c r="AD30" s="313"/>
      <c r="AE30" s="313"/>
      <c r="AF30" s="313"/>
      <c r="AG30" s="285" t="s">
        <v>270</v>
      </c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6"/>
      <c r="BD30" s="286"/>
      <c r="BE30" s="286"/>
      <c r="BF30" s="286"/>
      <c r="BG30" s="286"/>
      <c r="BH30" s="286"/>
      <c r="BI30" s="286"/>
      <c r="BJ30" s="286"/>
      <c r="BK30" s="286"/>
      <c r="BL30" s="286"/>
      <c r="BM30" s="286"/>
      <c r="BN30" s="286"/>
      <c r="BO30" s="286"/>
      <c r="BP30" s="286"/>
      <c r="BQ30" s="286"/>
      <c r="BR30" s="286"/>
      <c r="BS30" s="286"/>
      <c r="BT30" s="286"/>
      <c r="BU30" s="285" t="s">
        <v>294</v>
      </c>
      <c r="BV30" s="286"/>
      <c r="BW30" s="286"/>
      <c r="BX30" s="286"/>
      <c r="BY30" s="286"/>
      <c r="BZ30" s="286"/>
      <c r="CA30" s="286"/>
      <c r="CB30" s="286"/>
      <c r="CC30" s="286"/>
      <c r="CD30" s="286"/>
      <c r="CE30" s="286"/>
      <c r="CF30" s="286"/>
      <c r="CG30" s="286"/>
      <c r="CH30" s="286"/>
      <c r="CI30" s="286"/>
      <c r="CJ30" s="286"/>
      <c r="CK30" s="286"/>
      <c r="CL30" s="286"/>
      <c r="CM30" s="286"/>
      <c r="CN30" s="286"/>
      <c r="CO30" s="286"/>
      <c r="CP30" s="286"/>
      <c r="CQ30" s="286"/>
      <c r="CR30" s="286"/>
      <c r="CS30" s="271" t="s">
        <v>206</v>
      </c>
      <c r="CT30" s="272"/>
      <c r="CU30" s="298">
        <v>250</v>
      </c>
      <c r="CV30" s="298"/>
      <c r="CW30" s="298"/>
      <c r="CX30" s="298"/>
      <c r="CY30" s="298"/>
      <c r="CZ30" s="299"/>
      <c r="DA30" s="274" t="s">
        <v>206</v>
      </c>
      <c r="DB30" s="275"/>
      <c r="DC30" s="275">
        <f t="shared" si="0"/>
        <v>250</v>
      </c>
      <c r="DD30" s="275"/>
      <c r="DE30" s="275"/>
      <c r="DF30" s="275"/>
      <c r="DG30" s="275"/>
      <c r="DH30" s="275"/>
      <c r="DI30" s="276"/>
      <c r="DJ30" s="262" t="s">
        <v>305</v>
      </c>
      <c r="DK30" s="314"/>
      <c r="DL30" s="314"/>
      <c r="DM30" s="314"/>
      <c r="DN30" s="314"/>
      <c r="DO30" s="314"/>
      <c r="DP30" s="314"/>
      <c r="DQ30" s="314"/>
      <c r="DR30" s="314"/>
      <c r="DS30" s="314"/>
      <c r="DT30" s="315"/>
    </row>
    <row r="31" spans="1:124">
      <c r="A31" s="304"/>
      <c r="B31" s="229"/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310" t="s">
        <v>243</v>
      </c>
      <c r="O31" s="286"/>
      <c r="P31" s="286"/>
      <c r="Q31" s="286"/>
      <c r="R31" s="286"/>
      <c r="S31" s="286"/>
      <c r="T31" s="286"/>
      <c r="U31" s="286"/>
      <c r="V31" s="307" t="s">
        <v>251</v>
      </c>
      <c r="W31" s="102"/>
      <c r="X31" s="102"/>
      <c r="Y31" s="102"/>
      <c r="Z31" s="102"/>
      <c r="AA31" s="103"/>
      <c r="AB31" s="312" t="s">
        <v>252</v>
      </c>
      <c r="AC31" s="313"/>
      <c r="AD31" s="313"/>
      <c r="AE31" s="313"/>
      <c r="AF31" s="313"/>
      <c r="AG31" s="285" t="s">
        <v>269</v>
      </c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5" t="s">
        <v>276</v>
      </c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5" t="s">
        <v>286</v>
      </c>
      <c r="BN31" s="286"/>
      <c r="BO31" s="286"/>
      <c r="BP31" s="286"/>
      <c r="BQ31" s="286"/>
      <c r="BR31" s="286"/>
      <c r="BS31" s="286"/>
      <c r="BT31" s="286"/>
      <c r="BU31" s="285" t="s">
        <v>220</v>
      </c>
      <c r="BV31" s="286"/>
      <c r="BW31" s="286"/>
      <c r="BX31" s="286"/>
      <c r="BY31" s="286"/>
      <c r="BZ31" s="286"/>
      <c r="CA31" s="286"/>
      <c r="CB31" s="286"/>
      <c r="CC31" s="285" t="s">
        <v>300</v>
      </c>
      <c r="CD31" s="286"/>
      <c r="CE31" s="286"/>
      <c r="CF31" s="286"/>
      <c r="CG31" s="286"/>
      <c r="CH31" s="286"/>
      <c r="CI31" s="286"/>
      <c r="CJ31" s="286"/>
      <c r="CK31" s="285" t="s">
        <v>303</v>
      </c>
      <c r="CL31" s="286"/>
      <c r="CM31" s="286"/>
      <c r="CN31" s="286"/>
      <c r="CO31" s="286"/>
      <c r="CP31" s="286"/>
      <c r="CQ31" s="286"/>
      <c r="CR31" s="286"/>
      <c r="CS31" s="271" t="s">
        <v>206</v>
      </c>
      <c r="CT31" s="272"/>
      <c r="CU31" s="298">
        <v>2100</v>
      </c>
      <c r="CV31" s="298"/>
      <c r="CW31" s="298"/>
      <c r="CX31" s="298"/>
      <c r="CY31" s="298"/>
      <c r="CZ31" s="299"/>
      <c r="DA31" s="274" t="s">
        <v>206</v>
      </c>
      <c r="DB31" s="275"/>
      <c r="DC31" s="275">
        <f t="shared" si="0"/>
        <v>2100</v>
      </c>
      <c r="DD31" s="275"/>
      <c r="DE31" s="275"/>
      <c r="DF31" s="275"/>
      <c r="DG31" s="275"/>
      <c r="DH31" s="275"/>
      <c r="DI31" s="276"/>
      <c r="DJ31" s="262" t="s">
        <v>305</v>
      </c>
      <c r="DK31" s="314"/>
      <c r="DL31" s="314"/>
      <c r="DM31" s="314"/>
      <c r="DN31" s="314"/>
      <c r="DO31" s="314"/>
      <c r="DP31" s="314"/>
      <c r="DQ31" s="314"/>
      <c r="DR31" s="314"/>
      <c r="DS31" s="314"/>
      <c r="DT31" s="315"/>
    </row>
    <row r="32" spans="1:124">
      <c r="A32" s="304"/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310" t="s">
        <v>244</v>
      </c>
      <c r="O32" s="286"/>
      <c r="P32" s="286"/>
      <c r="Q32" s="286"/>
      <c r="R32" s="286"/>
      <c r="S32" s="286"/>
      <c r="T32" s="286"/>
      <c r="U32" s="286"/>
      <c r="V32" s="311">
        <v>39292</v>
      </c>
      <c r="W32" s="102"/>
      <c r="X32" s="102"/>
      <c r="Y32" s="102"/>
      <c r="Z32" s="102"/>
      <c r="AA32" s="103"/>
      <c r="AB32" s="312" t="s">
        <v>252</v>
      </c>
      <c r="AC32" s="313"/>
      <c r="AD32" s="313"/>
      <c r="AE32" s="313"/>
      <c r="AF32" s="313"/>
      <c r="AG32" s="285" t="s">
        <v>271</v>
      </c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5" t="s">
        <v>277</v>
      </c>
      <c r="AX32" s="286"/>
      <c r="AY32" s="286"/>
      <c r="AZ32" s="286"/>
      <c r="BA32" s="286"/>
      <c r="BB32" s="286"/>
      <c r="BC32" s="286"/>
      <c r="BD32" s="286"/>
      <c r="BE32" s="285" t="s">
        <v>283</v>
      </c>
      <c r="BF32" s="286"/>
      <c r="BG32" s="286"/>
      <c r="BH32" s="286"/>
      <c r="BI32" s="286"/>
      <c r="BJ32" s="286"/>
      <c r="BK32" s="286"/>
      <c r="BL32" s="286"/>
      <c r="BM32" s="285" t="s">
        <v>286</v>
      </c>
      <c r="BN32" s="286"/>
      <c r="BO32" s="286"/>
      <c r="BP32" s="286"/>
      <c r="BQ32" s="286"/>
      <c r="BR32" s="286"/>
      <c r="BS32" s="286"/>
      <c r="BT32" s="286"/>
      <c r="BU32" s="285" t="s">
        <v>297</v>
      </c>
      <c r="BV32" s="286"/>
      <c r="BW32" s="286"/>
      <c r="BX32" s="286"/>
      <c r="BY32" s="286"/>
      <c r="BZ32" s="286"/>
      <c r="CA32" s="286"/>
      <c r="CB32" s="286"/>
      <c r="CC32" s="286"/>
      <c r="CD32" s="286"/>
      <c r="CE32" s="286"/>
      <c r="CF32" s="286"/>
      <c r="CG32" s="286"/>
      <c r="CH32" s="286"/>
      <c r="CI32" s="286"/>
      <c r="CJ32" s="286"/>
      <c r="CK32" s="286"/>
      <c r="CL32" s="286"/>
      <c r="CM32" s="286"/>
      <c r="CN32" s="286"/>
      <c r="CO32" s="286"/>
      <c r="CP32" s="286"/>
      <c r="CQ32" s="286"/>
      <c r="CR32" s="286"/>
      <c r="CS32" s="271" t="s">
        <v>206</v>
      </c>
      <c r="CT32" s="272"/>
      <c r="CU32" s="298">
        <v>2800</v>
      </c>
      <c r="CV32" s="298"/>
      <c r="CW32" s="298"/>
      <c r="CX32" s="298"/>
      <c r="CY32" s="298"/>
      <c r="CZ32" s="299"/>
      <c r="DA32" s="274" t="s">
        <v>206</v>
      </c>
      <c r="DB32" s="275"/>
      <c r="DC32" s="275">
        <f t="shared" si="0"/>
        <v>2800</v>
      </c>
      <c r="DD32" s="275"/>
      <c r="DE32" s="275"/>
      <c r="DF32" s="275"/>
      <c r="DG32" s="275"/>
      <c r="DH32" s="275"/>
      <c r="DI32" s="276"/>
      <c r="DJ32" s="262" t="s">
        <v>305</v>
      </c>
      <c r="DK32" s="314"/>
      <c r="DL32" s="314"/>
      <c r="DM32" s="314"/>
      <c r="DN32" s="314"/>
      <c r="DO32" s="314"/>
      <c r="DP32" s="314"/>
      <c r="DQ32" s="314"/>
      <c r="DR32" s="314"/>
      <c r="DS32" s="314"/>
      <c r="DT32" s="315"/>
    </row>
    <row r="33" spans="1:124">
      <c r="A33" s="304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310" t="s">
        <v>245</v>
      </c>
      <c r="O33" s="286"/>
      <c r="P33" s="286"/>
      <c r="Q33" s="286"/>
      <c r="R33" s="286"/>
      <c r="S33" s="286"/>
      <c r="T33" s="286"/>
      <c r="U33" s="286"/>
      <c r="V33" s="311">
        <v>39383</v>
      </c>
      <c r="W33" s="102"/>
      <c r="X33" s="102"/>
      <c r="Y33" s="102"/>
      <c r="Z33" s="102"/>
      <c r="AA33" s="103"/>
      <c r="AB33" s="312" t="s">
        <v>254</v>
      </c>
      <c r="AC33" s="313"/>
      <c r="AD33" s="313"/>
      <c r="AE33" s="313"/>
      <c r="AF33" s="313"/>
      <c r="AG33" s="285" t="s">
        <v>272</v>
      </c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5" t="s">
        <v>278</v>
      </c>
      <c r="AX33" s="286"/>
      <c r="AY33" s="286"/>
      <c r="AZ33" s="286"/>
      <c r="BA33" s="286"/>
      <c r="BB33" s="286"/>
      <c r="BC33" s="286"/>
      <c r="BD33" s="286"/>
      <c r="BE33" s="285" t="s">
        <v>284</v>
      </c>
      <c r="BF33" s="286"/>
      <c r="BG33" s="286"/>
      <c r="BH33" s="286"/>
      <c r="BI33" s="286"/>
      <c r="BJ33" s="286"/>
      <c r="BK33" s="286"/>
      <c r="BL33" s="286"/>
      <c r="BM33" s="285" t="s">
        <v>288</v>
      </c>
      <c r="BN33" s="286"/>
      <c r="BO33" s="286"/>
      <c r="BP33" s="286"/>
      <c r="BQ33" s="286"/>
      <c r="BR33" s="286"/>
      <c r="BS33" s="286"/>
      <c r="BT33" s="286"/>
      <c r="BU33" s="285" t="s">
        <v>291</v>
      </c>
      <c r="BV33" s="286"/>
      <c r="BW33" s="286"/>
      <c r="BX33" s="286"/>
      <c r="BY33" s="286"/>
      <c r="BZ33" s="286"/>
      <c r="CA33" s="286"/>
      <c r="CB33" s="286"/>
      <c r="CC33" s="286"/>
      <c r="CD33" s="286"/>
      <c r="CE33" s="286"/>
      <c r="CF33" s="286"/>
      <c r="CG33" s="286"/>
      <c r="CH33" s="286"/>
      <c r="CI33" s="286"/>
      <c r="CJ33" s="286"/>
      <c r="CK33" s="286"/>
      <c r="CL33" s="286"/>
      <c r="CM33" s="286"/>
      <c r="CN33" s="286"/>
      <c r="CO33" s="286"/>
      <c r="CP33" s="286"/>
      <c r="CQ33" s="286"/>
      <c r="CR33" s="286"/>
      <c r="CS33" s="271" t="s">
        <v>206</v>
      </c>
      <c r="CT33" s="272"/>
      <c r="CU33" s="298">
        <v>2000</v>
      </c>
      <c r="CV33" s="298"/>
      <c r="CW33" s="298"/>
      <c r="CX33" s="298"/>
      <c r="CY33" s="298"/>
      <c r="CZ33" s="299"/>
      <c r="DA33" s="274" t="s">
        <v>206</v>
      </c>
      <c r="DB33" s="275"/>
      <c r="DC33" s="275">
        <f t="shared" si="0"/>
        <v>6000</v>
      </c>
      <c r="DD33" s="275"/>
      <c r="DE33" s="275"/>
      <c r="DF33" s="275"/>
      <c r="DG33" s="275"/>
      <c r="DH33" s="275"/>
      <c r="DI33" s="276"/>
      <c r="DJ33" s="262" t="s">
        <v>305</v>
      </c>
      <c r="DK33" s="90"/>
      <c r="DL33" s="90"/>
      <c r="DM33" s="90"/>
      <c r="DN33" s="90"/>
      <c r="DO33" s="90"/>
      <c r="DP33" s="90"/>
      <c r="DQ33" s="90"/>
      <c r="DR33" s="90"/>
      <c r="DS33" s="90"/>
      <c r="DT33" s="263"/>
    </row>
    <row r="34" spans="1:124">
      <c r="A34" s="304"/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310" t="s">
        <v>246</v>
      </c>
      <c r="O34" s="286"/>
      <c r="P34" s="286"/>
      <c r="Q34" s="286"/>
      <c r="R34" s="286"/>
      <c r="S34" s="286"/>
      <c r="T34" s="286"/>
      <c r="U34" s="286"/>
      <c r="V34" s="311">
        <v>39383</v>
      </c>
      <c r="W34" s="102"/>
      <c r="X34" s="102"/>
      <c r="Y34" s="102"/>
      <c r="Z34" s="102"/>
      <c r="AA34" s="103"/>
      <c r="AB34" s="312" t="s">
        <v>252</v>
      </c>
      <c r="AC34" s="313"/>
      <c r="AD34" s="313"/>
      <c r="AE34" s="313"/>
      <c r="AF34" s="313"/>
      <c r="AG34" s="318" t="s">
        <v>273</v>
      </c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20"/>
      <c r="AW34" s="286"/>
      <c r="AX34" s="286"/>
      <c r="AY34" s="286"/>
      <c r="AZ34" s="286"/>
      <c r="BA34" s="286"/>
      <c r="BB34" s="286"/>
      <c r="BC34" s="286"/>
      <c r="BD34" s="286"/>
      <c r="BE34" s="286"/>
      <c r="BF34" s="286"/>
      <c r="BG34" s="286"/>
      <c r="BH34" s="286"/>
      <c r="BI34" s="286"/>
      <c r="BJ34" s="286"/>
      <c r="BK34" s="286"/>
      <c r="BL34" s="286"/>
      <c r="BM34" s="285" t="s">
        <v>288</v>
      </c>
      <c r="BN34" s="286"/>
      <c r="BO34" s="286"/>
      <c r="BP34" s="286"/>
      <c r="BQ34" s="286"/>
      <c r="BR34" s="286"/>
      <c r="BS34" s="286"/>
      <c r="BT34" s="286"/>
      <c r="BU34" s="285" t="s">
        <v>291</v>
      </c>
      <c r="BV34" s="286"/>
      <c r="BW34" s="286"/>
      <c r="BX34" s="286"/>
      <c r="BY34" s="286"/>
      <c r="BZ34" s="286"/>
      <c r="CA34" s="286"/>
      <c r="CB34" s="286"/>
      <c r="CC34" s="286"/>
      <c r="CD34" s="286"/>
      <c r="CE34" s="286"/>
      <c r="CF34" s="286"/>
      <c r="CG34" s="286"/>
      <c r="CH34" s="286"/>
      <c r="CI34" s="286"/>
      <c r="CJ34" s="286"/>
      <c r="CK34" s="286"/>
      <c r="CL34" s="286"/>
      <c r="CM34" s="286"/>
      <c r="CN34" s="286"/>
      <c r="CO34" s="286"/>
      <c r="CP34" s="286"/>
      <c r="CQ34" s="286"/>
      <c r="CR34" s="286"/>
      <c r="CS34" s="271" t="s">
        <v>206</v>
      </c>
      <c r="CT34" s="272"/>
      <c r="CU34" s="298">
        <v>800</v>
      </c>
      <c r="CV34" s="298"/>
      <c r="CW34" s="298"/>
      <c r="CX34" s="298"/>
      <c r="CY34" s="298"/>
      <c r="CZ34" s="299"/>
      <c r="DA34" s="274" t="s">
        <v>206</v>
      </c>
      <c r="DB34" s="275"/>
      <c r="DC34" s="275">
        <f t="shared" si="0"/>
        <v>800</v>
      </c>
      <c r="DD34" s="275"/>
      <c r="DE34" s="275"/>
      <c r="DF34" s="275"/>
      <c r="DG34" s="275"/>
      <c r="DH34" s="275"/>
      <c r="DI34" s="276"/>
      <c r="DJ34" s="262" t="s">
        <v>305</v>
      </c>
      <c r="DK34" s="90"/>
      <c r="DL34" s="90"/>
      <c r="DM34" s="90"/>
      <c r="DN34" s="90"/>
      <c r="DO34" s="90"/>
      <c r="DP34" s="90"/>
      <c r="DQ34" s="90"/>
      <c r="DR34" s="90"/>
      <c r="DS34" s="90"/>
      <c r="DT34" s="263"/>
    </row>
    <row r="35" spans="1:124" ht="15" thickBot="1">
      <c r="A35" s="331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3" t="s">
        <v>247</v>
      </c>
      <c r="O35" s="322"/>
      <c r="P35" s="322"/>
      <c r="Q35" s="322"/>
      <c r="R35" s="322"/>
      <c r="S35" s="322"/>
      <c r="T35" s="322"/>
      <c r="U35" s="322"/>
      <c r="V35" s="311">
        <v>39733</v>
      </c>
      <c r="W35" s="102"/>
      <c r="X35" s="102"/>
      <c r="Y35" s="102"/>
      <c r="Z35" s="102"/>
      <c r="AA35" s="103"/>
      <c r="AB35" s="312" t="s">
        <v>252</v>
      </c>
      <c r="AC35" s="313"/>
      <c r="AD35" s="313"/>
      <c r="AE35" s="313"/>
      <c r="AF35" s="313"/>
      <c r="AG35" s="334" t="s">
        <v>367</v>
      </c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35"/>
      <c r="AV35" s="336"/>
      <c r="AW35" s="322"/>
      <c r="AX35" s="322"/>
      <c r="AY35" s="322"/>
      <c r="AZ35" s="322"/>
      <c r="BA35" s="322"/>
      <c r="BB35" s="322"/>
      <c r="BC35" s="322"/>
      <c r="BD35" s="322"/>
      <c r="BE35" s="322"/>
      <c r="BF35" s="322"/>
      <c r="BG35" s="322"/>
      <c r="BH35" s="322"/>
      <c r="BI35" s="322"/>
      <c r="BJ35" s="322"/>
      <c r="BK35" s="322"/>
      <c r="BL35" s="322"/>
      <c r="BM35" s="321" t="s">
        <v>290</v>
      </c>
      <c r="BN35" s="322"/>
      <c r="BO35" s="322"/>
      <c r="BP35" s="322"/>
      <c r="BQ35" s="322"/>
      <c r="BR35" s="322"/>
      <c r="BS35" s="322"/>
      <c r="BT35" s="322"/>
      <c r="BU35" s="321" t="s">
        <v>295</v>
      </c>
      <c r="BV35" s="322"/>
      <c r="BW35" s="322"/>
      <c r="BX35" s="322"/>
      <c r="BY35" s="322"/>
      <c r="BZ35" s="322"/>
      <c r="CA35" s="322"/>
      <c r="CB35" s="322"/>
      <c r="CC35" s="321" t="s">
        <v>301</v>
      </c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271" t="s">
        <v>206</v>
      </c>
      <c r="CT35" s="272"/>
      <c r="CU35" s="298">
        <v>2000</v>
      </c>
      <c r="CV35" s="298"/>
      <c r="CW35" s="298"/>
      <c r="CX35" s="298"/>
      <c r="CY35" s="298"/>
      <c r="CZ35" s="299"/>
      <c r="DA35" s="274" t="s">
        <v>206</v>
      </c>
      <c r="DB35" s="275"/>
      <c r="DC35" s="275">
        <f t="shared" si="0"/>
        <v>2000</v>
      </c>
      <c r="DD35" s="275"/>
      <c r="DE35" s="275"/>
      <c r="DF35" s="275"/>
      <c r="DG35" s="275"/>
      <c r="DH35" s="275"/>
      <c r="DI35" s="276"/>
      <c r="DJ35" s="262" t="s">
        <v>305</v>
      </c>
      <c r="DK35" s="90"/>
      <c r="DL35" s="90"/>
      <c r="DM35" s="90"/>
      <c r="DN35" s="90"/>
      <c r="DO35" s="90"/>
      <c r="DP35" s="90"/>
      <c r="DQ35" s="90"/>
      <c r="DR35" s="90"/>
      <c r="DS35" s="90"/>
      <c r="DT35" s="263"/>
    </row>
    <row r="36" spans="1:124" ht="39.9" customHeight="1" thickBot="1">
      <c r="A36" s="3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323"/>
      <c r="AK36" s="323"/>
      <c r="AL36" s="323"/>
      <c r="AM36" s="323"/>
      <c r="AN36" s="323"/>
      <c r="AO36" s="323"/>
      <c r="AP36" s="323"/>
      <c r="AQ36" s="323"/>
      <c r="AR36" s="323"/>
      <c r="AS36" s="323"/>
      <c r="AT36" s="323"/>
      <c r="AU36" s="323"/>
      <c r="AV36" s="323"/>
      <c r="AW36" s="323"/>
      <c r="AX36" s="323"/>
      <c r="AY36" s="323"/>
      <c r="AZ36" s="323"/>
      <c r="BA36" s="323"/>
      <c r="BB36" s="323"/>
      <c r="BC36" s="323"/>
      <c r="BD36" s="323"/>
      <c r="BE36" s="323"/>
      <c r="BF36" s="323"/>
      <c r="BG36" s="323"/>
      <c r="BH36" s="323"/>
      <c r="BI36" s="323"/>
      <c r="BJ36" s="323"/>
      <c r="BK36" s="323"/>
      <c r="BL36" s="323"/>
      <c r="BM36" s="323"/>
      <c r="BN36" s="323"/>
      <c r="BO36" s="323"/>
      <c r="BP36" s="323"/>
      <c r="BQ36" s="323"/>
      <c r="BR36" s="323"/>
      <c r="BS36" s="323"/>
      <c r="BT36" s="323"/>
      <c r="BU36" s="323"/>
      <c r="BV36" s="323"/>
      <c r="BW36" s="323"/>
      <c r="BX36" s="323"/>
      <c r="BY36" s="323"/>
      <c r="BZ36" s="323"/>
      <c r="CA36" s="323"/>
      <c r="CB36" s="323"/>
      <c r="CC36" s="323"/>
      <c r="CD36" s="323"/>
      <c r="CE36" s="323"/>
      <c r="CF36" s="323"/>
      <c r="CG36" s="323"/>
      <c r="CH36" s="323"/>
      <c r="CI36" s="323"/>
      <c r="CJ36" s="323"/>
      <c r="CK36" s="323"/>
      <c r="CL36" s="323"/>
      <c r="CM36" s="323"/>
      <c r="CN36" s="323"/>
      <c r="CO36" s="323"/>
      <c r="CP36" s="323"/>
      <c r="CQ36" s="323"/>
      <c r="CR36" s="323"/>
      <c r="CS36" s="323"/>
      <c r="CT36" s="323"/>
      <c r="CU36" s="323"/>
      <c r="CV36" s="323"/>
      <c r="CW36" s="323"/>
      <c r="CX36" s="323"/>
      <c r="CY36" s="323"/>
      <c r="CZ36" s="14"/>
      <c r="DA36" s="327" t="s">
        <v>206</v>
      </c>
      <c r="DB36" s="328"/>
      <c r="DC36" s="329">
        <f>SUM(DC10:DI35)</f>
        <v>465135</v>
      </c>
      <c r="DD36" s="329"/>
      <c r="DE36" s="329"/>
      <c r="DF36" s="329"/>
      <c r="DG36" s="329"/>
      <c r="DH36" s="329"/>
      <c r="DI36" s="329"/>
      <c r="DJ36" s="329"/>
      <c r="DK36" s="329"/>
      <c r="DL36" s="329"/>
      <c r="DM36" s="329"/>
      <c r="DN36" s="329"/>
      <c r="DO36" s="329"/>
      <c r="DP36" s="329"/>
      <c r="DQ36" s="329"/>
      <c r="DR36" s="329"/>
      <c r="DS36" s="329"/>
      <c r="DT36" s="330"/>
    </row>
    <row r="37" spans="1:124" ht="35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324" t="s">
        <v>83</v>
      </c>
      <c r="DK37" s="324"/>
      <c r="DL37" s="324"/>
      <c r="DM37" s="324"/>
      <c r="DN37" s="324"/>
      <c r="DO37" s="324"/>
      <c r="DP37" s="325" t="s">
        <v>368</v>
      </c>
      <c r="DQ37" s="326"/>
      <c r="DR37" s="326"/>
      <c r="DS37" s="326"/>
      <c r="DT37" s="1"/>
    </row>
    <row r="42" spans="1:124" ht="16.8">
      <c r="A42" s="232" t="s">
        <v>61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</row>
    <row r="43" spans="1:124" ht="21">
      <c r="A43" s="233" t="s">
        <v>4</v>
      </c>
      <c r="B43" s="234"/>
      <c r="C43" s="234"/>
      <c r="D43" s="234"/>
      <c r="E43" s="234"/>
      <c r="F43" s="2"/>
      <c r="G43" s="235" t="s">
        <v>197</v>
      </c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6"/>
      <c r="AF43" s="233" t="s">
        <v>5</v>
      </c>
      <c r="AG43" s="234"/>
      <c r="AH43" s="234"/>
      <c r="AI43" s="234"/>
      <c r="AJ43" s="234"/>
      <c r="AK43" s="234"/>
      <c r="AL43" s="2"/>
      <c r="AM43" s="235" t="s">
        <v>6</v>
      </c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6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233" t="s">
        <v>8</v>
      </c>
      <c r="BV43" s="234"/>
      <c r="BW43" s="234"/>
      <c r="BX43" s="234"/>
      <c r="BY43" s="234"/>
      <c r="BZ43" s="2"/>
      <c r="CA43" s="237">
        <v>1009</v>
      </c>
      <c r="CB43" s="235"/>
      <c r="CC43" s="235"/>
      <c r="CD43" s="235"/>
      <c r="CE43" s="235"/>
      <c r="CF43" s="235"/>
      <c r="CG43" s="235"/>
      <c r="CH43" s="235"/>
      <c r="CI43" s="236"/>
      <c r="CJ43" s="233" t="s">
        <v>9</v>
      </c>
      <c r="CK43" s="234"/>
      <c r="CL43" s="234"/>
      <c r="CM43" s="234"/>
      <c r="CN43" s="234"/>
      <c r="CO43" s="2"/>
      <c r="CP43" s="237" t="s">
        <v>214</v>
      </c>
      <c r="CQ43" s="235"/>
      <c r="CR43" s="235"/>
      <c r="CS43" s="235"/>
      <c r="CT43" s="235"/>
      <c r="CU43" s="235"/>
      <c r="CV43" s="235"/>
      <c r="CW43" s="235"/>
      <c r="CX43" s="236"/>
      <c r="CY43" s="1"/>
      <c r="CZ43" s="1"/>
      <c r="DA43" s="1"/>
      <c r="DB43" s="1"/>
      <c r="DC43" s="1"/>
      <c r="DD43" s="1"/>
      <c r="DE43" s="1"/>
      <c r="DF43" s="1"/>
      <c r="DG43" s="233" t="s">
        <v>62</v>
      </c>
      <c r="DH43" s="234"/>
      <c r="DI43" s="234"/>
      <c r="DJ43" s="234"/>
      <c r="DK43" s="234"/>
      <c r="DL43" s="2"/>
      <c r="DM43" s="235">
        <v>2024</v>
      </c>
      <c r="DN43" s="235"/>
      <c r="DO43" s="235"/>
      <c r="DP43" s="235"/>
      <c r="DQ43" s="235"/>
      <c r="DR43" s="235"/>
      <c r="DS43" s="235"/>
      <c r="DT43" s="236"/>
    </row>
    <row r="44" spans="1:124" ht="1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</row>
    <row r="45" spans="1:124" ht="20.399999999999999">
      <c r="A45" s="238" t="s">
        <v>63</v>
      </c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39"/>
      <c r="CI45" s="239"/>
      <c r="CJ45" s="239"/>
      <c r="CK45" s="239"/>
      <c r="CL45" s="239"/>
      <c r="CM45" s="239"/>
      <c r="CN45" s="239"/>
      <c r="CO45" s="239"/>
      <c r="CP45" s="239"/>
      <c r="CQ45" s="239"/>
      <c r="CR45" s="239"/>
      <c r="CS45" s="239"/>
      <c r="CT45" s="239"/>
      <c r="CU45" s="239"/>
      <c r="CV45" s="239"/>
      <c r="CW45" s="239"/>
      <c r="CX45" s="239"/>
      <c r="CY45" s="239"/>
      <c r="CZ45" s="239"/>
      <c r="DA45" s="239"/>
      <c r="DB45" s="239"/>
      <c r="DC45" s="239"/>
      <c r="DD45" s="239"/>
      <c r="DE45" s="239"/>
      <c r="DF45" s="239"/>
      <c r="DG45" s="239"/>
      <c r="DH45" s="239"/>
      <c r="DI45" s="239"/>
      <c r="DJ45" s="239"/>
      <c r="DK45" s="239"/>
      <c r="DL45" s="239"/>
      <c r="DM45" s="239"/>
      <c r="DN45" s="239"/>
      <c r="DO45" s="239"/>
      <c r="DP45" s="239"/>
      <c r="DQ45" s="239"/>
      <c r="DR45" s="239"/>
      <c r="DS45" s="239"/>
      <c r="DT45" s="240"/>
    </row>
    <row r="46" spans="1:124">
      <c r="A46" s="241" t="s">
        <v>64</v>
      </c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6"/>
    </row>
    <row r="48" spans="1:124" ht="17.399999999999999">
      <c r="A48" s="243"/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5"/>
      <c r="N48" s="246"/>
      <c r="O48" s="244"/>
      <c r="P48" s="244"/>
      <c r="Q48" s="244"/>
      <c r="R48" s="244"/>
      <c r="S48" s="244"/>
      <c r="T48" s="244"/>
      <c r="U48" s="245"/>
      <c r="V48" s="247" t="s">
        <v>65</v>
      </c>
      <c r="W48" s="248"/>
      <c r="X48" s="248"/>
      <c r="Y48" s="248"/>
      <c r="Z48" s="248"/>
      <c r="AA48" s="249"/>
      <c r="AB48" s="246"/>
      <c r="AC48" s="244"/>
      <c r="AD48" s="244"/>
      <c r="AE48" s="244"/>
      <c r="AF48" s="245"/>
      <c r="AG48" s="246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5"/>
      <c r="AW48" s="250" t="s">
        <v>66</v>
      </c>
      <c r="AX48" s="251"/>
      <c r="AY48" s="251"/>
      <c r="AZ48" s="251"/>
      <c r="BA48" s="251"/>
      <c r="BB48" s="251"/>
      <c r="BC48" s="251"/>
      <c r="BD48" s="251"/>
      <c r="BE48" s="251"/>
      <c r="BF48" s="251"/>
      <c r="BG48" s="251"/>
      <c r="BH48" s="251"/>
      <c r="BI48" s="251"/>
      <c r="BJ48" s="251"/>
      <c r="BK48" s="251"/>
      <c r="BL48" s="251"/>
      <c r="BM48" s="251"/>
      <c r="BN48" s="251"/>
      <c r="BO48" s="251"/>
      <c r="BP48" s="251"/>
      <c r="BQ48" s="251"/>
      <c r="BR48" s="251"/>
      <c r="BS48" s="251"/>
      <c r="BT48" s="251"/>
      <c r="BU48" s="251"/>
      <c r="BV48" s="251"/>
      <c r="BW48" s="251"/>
      <c r="BX48" s="251"/>
      <c r="BY48" s="251"/>
      <c r="BZ48" s="251"/>
      <c r="CA48" s="251"/>
      <c r="CB48" s="251"/>
      <c r="CC48" s="251"/>
      <c r="CD48" s="251"/>
      <c r="CE48" s="251"/>
      <c r="CF48" s="251"/>
      <c r="CG48" s="251"/>
      <c r="CH48" s="251"/>
      <c r="CI48" s="251"/>
      <c r="CJ48" s="251"/>
      <c r="CK48" s="251"/>
      <c r="CL48" s="251"/>
      <c r="CM48" s="251"/>
      <c r="CN48" s="251"/>
      <c r="CO48" s="251"/>
      <c r="CP48" s="251"/>
      <c r="CQ48" s="251"/>
      <c r="CR48" s="252"/>
      <c r="CS48" s="246"/>
      <c r="CT48" s="244"/>
      <c r="CU48" s="244"/>
      <c r="CV48" s="244"/>
      <c r="CW48" s="244"/>
      <c r="CX48" s="244"/>
      <c r="CY48" s="244"/>
      <c r="CZ48" s="245"/>
      <c r="DA48" s="246"/>
      <c r="DB48" s="244"/>
      <c r="DC48" s="244"/>
      <c r="DD48" s="244"/>
      <c r="DE48" s="244"/>
      <c r="DF48" s="244"/>
      <c r="DG48" s="244"/>
      <c r="DH48" s="244"/>
      <c r="DI48" s="245"/>
      <c r="DJ48" s="246"/>
      <c r="DK48" s="244"/>
      <c r="DL48" s="244"/>
      <c r="DM48" s="244"/>
      <c r="DN48" s="244"/>
      <c r="DO48" s="244"/>
      <c r="DP48" s="244"/>
      <c r="DQ48" s="244"/>
      <c r="DR48" s="244"/>
      <c r="DS48" s="244"/>
      <c r="DT48" s="253"/>
    </row>
    <row r="49" spans="1:124">
      <c r="A49" s="264" t="s">
        <v>67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8"/>
      <c r="N49" s="256" t="s">
        <v>68</v>
      </c>
      <c r="O49" s="257"/>
      <c r="P49" s="257"/>
      <c r="Q49" s="257"/>
      <c r="R49" s="257"/>
      <c r="S49" s="257"/>
      <c r="T49" s="257"/>
      <c r="U49" s="258"/>
      <c r="V49" s="265" t="s">
        <v>69</v>
      </c>
      <c r="W49" s="266"/>
      <c r="X49" s="266"/>
      <c r="Y49" s="266"/>
      <c r="Z49" s="266"/>
      <c r="AA49" s="267"/>
      <c r="AB49" s="268" t="s">
        <v>70</v>
      </c>
      <c r="AC49" s="269"/>
      <c r="AD49" s="269"/>
      <c r="AE49" s="269"/>
      <c r="AF49" s="270"/>
      <c r="AG49" s="256" t="s">
        <v>71</v>
      </c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8"/>
      <c r="AW49" s="283" t="s">
        <v>72</v>
      </c>
      <c r="AX49" s="254"/>
      <c r="AY49" s="254"/>
      <c r="AZ49" s="254"/>
      <c r="BA49" s="254"/>
      <c r="BB49" s="254"/>
      <c r="BC49" s="254"/>
      <c r="BD49" s="254"/>
      <c r="BE49" s="254" t="s">
        <v>73</v>
      </c>
      <c r="BF49" s="254"/>
      <c r="BG49" s="254"/>
      <c r="BH49" s="254"/>
      <c r="BI49" s="254"/>
      <c r="BJ49" s="254"/>
      <c r="BK49" s="254"/>
      <c r="BL49" s="254"/>
      <c r="BM49" s="254" t="s">
        <v>74</v>
      </c>
      <c r="BN49" s="254"/>
      <c r="BO49" s="254"/>
      <c r="BP49" s="254"/>
      <c r="BQ49" s="254"/>
      <c r="BR49" s="254"/>
      <c r="BS49" s="254"/>
      <c r="BT49" s="254"/>
      <c r="BU49" s="254" t="s">
        <v>75</v>
      </c>
      <c r="BV49" s="254"/>
      <c r="BW49" s="254"/>
      <c r="BX49" s="254"/>
      <c r="BY49" s="254"/>
      <c r="BZ49" s="254"/>
      <c r="CA49" s="254"/>
      <c r="CB49" s="254"/>
      <c r="CC49" s="254" t="s">
        <v>76</v>
      </c>
      <c r="CD49" s="254"/>
      <c r="CE49" s="254"/>
      <c r="CF49" s="254"/>
      <c r="CG49" s="254"/>
      <c r="CH49" s="254"/>
      <c r="CI49" s="254"/>
      <c r="CJ49" s="254"/>
      <c r="CK49" s="254" t="s">
        <v>77</v>
      </c>
      <c r="CL49" s="254"/>
      <c r="CM49" s="254"/>
      <c r="CN49" s="254"/>
      <c r="CO49" s="254"/>
      <c r="CP49" s="254"/>
      <c r="CQ49" s="254"/>
      <c r="CR49" s="255"/>
      <c r="CS49" s="256" t="s">
        <v>78</v>
      </c>
      <c r="CT49" s="257"/>
      <c r="CU49" s="257"/>
      <c r="CV49" s="257"/>
      <c r="CW49" s="257"/>
      <c r="CX49" s="257"/>
      <c r="CY49" s="257"/>
      <c r="CZ49" s="258"/>
      <c r="DA49" s="256" t="s">
        <v>79</v>
      </c>
      <c r="DB49" s="257"/>
      <c r="DC49" s="257"/>
      <c r="DD49" s="257"/>
      <c r="DE49" s="257"/>
      <c r="DF49" s="257"/>
      <c r="DG49" s="257"/>
      <c r="DH49" s="257"/>
      <c r="DI49" s="258"/>
      <c r="DJ49" s="256" t="s">
        <v>80</v>
      </c>
      <c r="DK49" s="257"/>
      <c r="DL49" s="257"/>
      <c r="DM49" s="257"/>
      <c r="DN49" s="257"/>
      <c r="DO49" s="257"/>
      <c r="DP49" s="257"/>
      <c r="DQ49" s="257"/>
      <c r="DR49" s="257"/>
      <c r="DS49" s="257"/>
      <c r="DT49" s="259"/>
    </row>
    <row r="50" spans="1:124">
      <c r="A50" s="288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90"/>
      <c r="N50" s="260" t="s">
        <v>309</v>
      </c>
      <c r="O50" s="102"/>
      <c r="P50" s="102"/>
      <c r="Q50" s="102"/>
      <c r="R50" s="102"/>
      <c r="S50" s="102"/>
      <c r="T50" s="102"/>
      <c r="U50" s="103"/>
      <c r="V50" s="297">
        <v>40763</v>
      </c>
      <c r="W50" s="102"/>
      <c r="X50" s="102"/>
      <c r="Y50" s="102"/>
      <c r="Z50" s="102"/>
      <c r="AA50" s="103"/>
      <c r="AB50" s="280" t="s">
        <v>252</v>
      </c>
      <c r="AC50" s="281"/>
      <c r="AD50" s="281"/>
      <c r="AE50" s="281"/>
      <c r="AF50" s="282"/>
      <c r="AG50" s="260" t="s">
        <v>341</v>
      </c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3"/>
      <c r="AW50" s="261"/>
      <c r="AX50" s="102"/>
      <c r="AY50" s="102"/>
      <c r="AZ50" s="102"/>
      <c r="BA50" s="102"/>
      <c r="BB50" s="102"/>
      <c r="BC50" s="102"/>
      <c r="BD50" s="103"/>
      <c r="BE50" s="261"/>
      <c r="BF50" s="102"/>
      <c r="BG50" s="102"/>
      <c r="BH50" s="102"/>
      <c r="BI50" s="102"/>
      <c r="BJ50" s="102"/>
      <c r="BK50" s="102"/>
      <c r="BL50" s="103"/>
      <c r="BM50" s="261"/>
      <c r="BN50" s="102"/>
      <c r="BO50" s="102"/>
      <c r="BP50" s="102"/>
      <c r="BQ50" s="102"/>
      <c r="BR50" s="102"/>
      <c r="BS50" s="102"/>
      <c r="BT50" s="103"/>
      <c r="BU50" s="260" t="s">
        <v>292</v>
      </c>
      <c r="BV50" s="102"/>
      <c r="BW50" s="102"/>
      <c r="BX50" s="102"/>
      <c r="BY50" s="102"/>
      <c r="BZ50" s="102"/>
      <c r="CA50" s="102"/>
      <c r="CB50" s="103"/>
      <c r="CC50" s="261"/>
      <c r="CD50" s="102"/>
      <c r="CE50" s="102"/>
      <c r="CF50" s="102"/>
      <c r="CG50" s="102"/>
      <c r="CH50" s="102"/>
      <c r="CI50" s="102"/>
      <c r="CJ50" s="103"/>
      <c r="CK50" s="337"/>
      <c r="CL50" s="338"/>
      <c r="CM50" s="338"/>
      <c r="CN50" s="338"/>
      <c r="CO50" s="338"/>
      <c r="CP50" s="338"/>
      <c r="CQ50" s="338"/>
      <c r="CR50" s="339"/>
      <c r="CS50" s="271" t="s">
        <v>206</v>
      </c>
      <c r="CT50" s="272"/>
      <c r="CU50" s="298">
        <v>25</v>
      </c>
      <c r="CV50" s="298"/>
      <c r="CW50" s="298"/>
      <c r="CX50" s="298"/>
      <c r="CY50" s="298"/>
      <c r="CZ50" s="299"/>
      <c r="DA50" s="274" t="s">
        <v>206</v>
      </c>
      <c r="DB50" s="275"/>
      <c r="DC50" s="275">
        <f t="shared" ref="DC50" si="1">+AB50*CU50</f>
        <v>25</v>
      </c>
      <c r="DD50" s="275"/>
      <c r="DE50" s="275"/>
      <c r="DF50" s="275"/>
      <c r="DG50" s="275"/>
      <c r="DH50" s="275"/>
      <c r="DI50" s="276"/>
      <c r="DJ50" s="260" t="s">
        <v>305</v>
      </c>
      <c r="DK50" s="102"/>
      <c r="DL50" s="102"/>
      <c r="DM50" s="102"/>
      <c r="DN50" s="102"/>
      <c r="DO50" s="102"/>
      <c r="DP50" s="102"/>
      <c r="DQ50" s="102"/>
      <c r="DR50" s="102"/>
      <c r="DS50" s="102"/>
      <c r="DT50" s="340"/>
    </row>
    <row r="51" spans="1:124">
      <c r="A51" s="346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90"/>
      <c r="N51" s="307" t="s">
        <v>310</v>
      </c>
      <c r="O51" s="102"/>
      <c r="P51" s="102"/>
      <c r="Q51" s="102"/>
      <c r="R51" s="102"/>
      <c r="S51" s="102"/>
      <c r="T51" s="102"/>
      <c r="U51" s="103"/>
      <c r="V51" s="297">
        <v>40763</v>
      </c>
      <c r="W51" s="102"/>
      <c r="X51" s="102"/>
      <c r="Y51" s="102"/>
      <c r="Z51" s="102"/>
      <c r="AA51" s="103"/>
      <c r="AB51" s="291" t="s">
        <v>252</v>
      </c>
      <c r="AC51" s="295"/>
      <c r="AD51" s="295"/>
      <c r="AE51" s="295"/>
      <c r="AF51" s="296"/>
      <c r="AG51" s="262" t="s">
        <v>342</v>
      </c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1"/>
      <c r="AW51" s="284"/>
      <c r="AX51" s="90"/>
      <c r="AY51" s="90"/>
      <c r="AZ51" s="90"/>
      <c r="BA51" s="90"/>
      <c r="BB51" s="90"/>
      <c r="BC51" s="90"/>
      <c r="BD51" s="91"/>
      <c r="BE51" s="284"/>
      <c r="BF51" s="90"/>
      <c r="BG51" s="90"/>
      <c r="BH51" s="90"/>
      <c r="BI51" s="90"/>
      <c r="BJ51" s="90"/>
      <c r="BK51" s="90"/>
      <c r="BL51" s="91"/>
      <c r="BM51" s="284"/>
      <c r="BN51" s="90"/>
      <c r="BO51" s="90"/>
      <c r="BP51" s="90"/>
      <c r="BQ51" s="90"/>
      <c r="BR51" s="90"/>
      <c r="BS51" s="90"/>
      <c r="BT51" s="91"/>
      <c r="BU51" s="262" t="s">
        <v>295</v>
      </c>
      <c r="BV51" s="90"/>
      <c r="BW51" s="90"/>
      <c r="BX51" s="90"/>
      <c r="BY51" s="90"/>
      <c r="BZ51" s="90"/>
      <c r="CA51" s="90"/>
      <c r="CB51" s="91"/>
      <c r="CC51" s="284"/>
      <c r="CD51" s="90"/>
      <c r="CE51" s="90"/>
      <c r="CF51" s="90"/>
      <c r="CG51" s="90"/>
      <c r="CH51" s="90"/>
      <c r="CI51" s="90"/>
      <c r="CJ51" s="91"/>
      <c r="CK51" s="284"/>
      <c r="CL51" s="90"/>
      <c r="CM51" s="90"/>
      <c r="CN51" s="90"/>
      <c r="CO51" s="90"/>
      <c r="CP51" s="90"/>
      <c r="CQ51" s="90"/>
      <c r="CR51" s="91"/>
      <c r="CS51" s="271" t="s">
        <v>206</v>
      </c>
      <c r="CT51" s="272"/>
      <c r="CU51" s="298">
        <v>25</v>
      </c>
      <c r="CV51" s="298"/>
      <c r="CW51" s="298"/>
      <c r="CX51" s="298"/>
      <c r="CY51" s="298"/>
      <c r="CZ51" s="299"/>
      <c r="DA51" s="274" t="s">
        <v>206</v>
      </c>
      <c r="DB51" s="275"/>
      <c r="DC51" s="275">
        <f t="shared" ref="DC51:DC75" si="2">+AB51*CU51</f>
        <v>25</v>
      </c>
      <c r="DD51" s="275"/>
      <c r="DE51" s="275"/>
      <c r="DF51" s="275"/>
      <c r="DG51" s="275"/>
      <c r="DH51" s="275"/>
      <c r="DI51" s="276"/>
      <c r="DJ51" s="262" t="s">
        <v>305</v>
      </c>
      <c r="DK51" s="90"/>
      <c r="DL51" s="90"/>
      <c r="DM51" s="90"/>
      <c r="DN51" s="90"/>
      <c r="DO51" s="90"/>
      <c r="DP51" s="90"/>
      <c r="DQ51" s="90"/>
      <c r="DR51" s="90"/>
      <c r="DS51" s="90"/>
      <c r="DT51" s="263"/>
    </row>
    <row r="52" spans="1:124">
      <c r="A52" s="306" t="s">
        <v>306</v>
      </c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90"/>
      <c r="N52" s="307" t="s">
        <v>311</v>
      </c>
      <c r="O52" s="102"/>
      <c r="P52" s="102"/>
      <c r="Q52" s="102"/>
      <c r="R52" s="102"/>
      <c r="S52" s="102"/>
      <c r="T52" s="102"/>
      <c r="U52" s="103"/>
      <c r="V52" s="297">
        <v>41147</v>
      </c>
      <c r="W52" s="102"/>
      <c r="X52" s="102"/>
      <c r="Y52" s="102"/>
      <c r="Z52" s="102"/>
      <c r="AA52" s="103"/>
      <c r="AB52" s="291" t="s">
        <v>252</v>
      </c>
      <c r="AC52" s="295"/>
      <c r="AD52" s="295"/>
      <c r="AE52" s="295"/>
      <c r="AF52" s="296"/>
      <c r="AG52" s="262" t="s">
        <v>343</v>
      </c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1"/>
      <c r="AW52" s="284"/>
      <c r="AX52" s="90"/>
      <c r="AY52" s="90"/>
      <c r="AZ52" s="90"/>
      <c r="BA52" s="90"/>
      <c r="BB52" s="90"/>
      <c r="BC52" s="90"/>
      <c r="BD52" s="91"/>
      <c r="BE52" s="284"/>
      <c r="BF52" s="90"/>
      <c r="BG52" s="90"/>
      <c r="BH52" s="90"/>
      <c r="BI52" s="90"/>
      <c r="BJ52" s="90"/>
      <c r="BK52" s="90"/>
      <c r="BL52" s="91"/>
      <c r="BM52" s="284"/>
      <c r="BN52" s="90"/>
      <c r="BO52" s="90"/>
      <c r="BP52" s="90"/>
      <c r="BQ52" s="90"/>
      <c r="BR52" s="90"/>
      <c r="BS52" s="90"/>
      <c r="BT52" s="91"/>
      <c r="BU52" s="284"/>
      <c r="BV52" s="90"/>
      <c r="BW52" s="90"/>
      <c r="BX52" s="90"/>
      <c r="BY52" s="90"/>
      <c r="BZ52" s="90"/>
      <c r="CA52" s="90"/>
      <c r="CB52" s="91"/>
      <c r="CC52" s="284"/>
      <c r="CD52" s="90"/>
      <c r="CE52" s="90"/>
      <c r="CF52" s="90"/>
      <c r="CG52" s="90"/>
      <c r="CH52" s="90"/>
      <c r="CI52" s="90"/>
      <c r="CJ52" s="91"/>
      <c r="CK52" s="284"/>
      <c r="CL52" s="90"/>
      <c r="CM52" s="90"/>
      <c r="CN52" s="90"/>
      <c r="CO52" s="90"/>
      <c r="CP52" s="90"/>
      <c r="CQ52" s="90"/>
      <c r="CR52" s="91"/>
      <c r="CS52" s="271" t="s">
        <v>206</v>
      </c>
      <c r="CT52" s="272"/>
      <c r="CU52" s="298">
        <v>650</v>
      </c>
      <c r="CV52" s="298"/>
      <c r="CW52" s="298"/>
      <c r="CX52" s="298"/>
      <c r="CY52" s="298"/>
      <c r="CZ52" s="299"/>
      <c r="DA52" s="274" t="s">
        <v>206</v>
      </c>
      <c r="DB52" s="275"/>
      <c r="DC52" s="275">
        <f t="shared" si="2"/>
        <v>650</v>
      </c>
      <c r="DD52" s="275"/>
      <c r="DE52" s="275"/>
      <c r="DF52" s="275"/>
      <c r="DG52" s="275"/>
      <c r="DH52" s="275"/>
      <c r="DI52" s="276"/>
      <c r="DJ52" s="262" t="s">
        <v>305</v>
      </c>
      <c r="DK52" s="90"/>
      <c r="DL52" s="90"/>
      <c r="DM52" s="90"/>
      <c r="DN52" s="90"/>
      <c r="DO52" s="90"/>
      <c r="DP52" s="90"/>
      <c r="DQ52" s="90"/>
      <c r="DR52" s="90"/>
      <c r="DS52" s="90"/>
      <c r="DT52" s="263"/>
    </row>
    <row r="53" spans="1:124">
      <c r="A53" s="308" t="s">
        <v>307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307" t="s">
        <v>312</v>
      </c>
      <c r="O53" s="102"/>
      <c r="P53" s="102"/>
      <c r="Q53" s="102"/>
      <c r="R53" s="102"/>
      <c r="S53" s="102"/>
      <c r="T53" s="102"/>
      <c r="U53" s="103"/>
      <c r="V53" s="311">
        <v>44736</v>
      </c>
      <c r="W53" s="347"/>
      <c r="X53" s="347"/>
      <c r="Y53" s="347"/>
      <c r="Z53" s="347"/>
      <c r="AA53" s="348"/>
      <c r="AB53" s="349" t="s">
        <v>252</v>
      </c>
      <c r="AC53" s="349"/>
      <c r="AD53" s="349"/>
      <c r="AE53" s="349"/>
      <c r="AF53" s="349"/>
      <c r="AG53" s="344" t="s">
        <v>344</v>
      </c>
      <c r="AH53" s="344"/>
      <c r="AI53" s="344"/>
      <c r="AJ53" s="344"/>
      <c r="AK53" s="344"/>
      <c r="AL53" s="344"/>
      <c r="AM53" s="344"/>
      <c r="AN53" s="344"/>
      <c r="AO53" s="344"/>
      <c r="AP53" s="344"/>
      <c r="AQ53" s="344"/>
      <c r="AR53" s="344"/>
      <c r="AS53" s="344"/>
      <c r="AT53" s="344"/>
      <c r="AU53" s="344"/>
      <c r="AV53" s="344"/>
      <c r="AW53" s="285" t="s">
        <v>356</v>
      </c>
      <c r="AX53" s="286"/>
      <c r="AY53" s="286"/>
      <c r="AZ53" s="286"/>
      <c r="BA53" s="286"/>
      <c r="BB53" s="286"/>
      <c r="BC53" s="286"/>
      <c r="BD53" s="286"/>
      <c r="BE53" s="285" t="s">
        <v>363</v>
      </c>
      <c r="BF53" s="286"/>
      <c r="BG53" s="286"/>
      <c r="BH53" s="286"/>
      <c r="BI53" s="286"/>
      <c r="BJ53" s="286"/>
      <c r="BK53" s="286"/>
      <c r="BL53" s="286"/>
      <c r="BM53" s="286"/>
      <c r="BN53" s="286"/>
      <c r="BO53" s="286"/>
      <c r="BP53" s="286"/>
      <c r="BQ53" s="286"/>
      <c r="BR53" s="286"/>
      <c r="BS53" s="286"/>
      <c r="BT53" s="286"/>
      <c r="BU53" s="285" t="s">
        <v>297</v>
      </c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86"/>
      <c r="CH53" s="286"/>
      <c r="CI53" s="286"/>
      <c r="CJ53" s="286"/>
      <c r="CK53" s="341" t="s">
        <v>383</v>
      </c>
      <c r="CL53" s="342"/>
      <c r="CM53" s="342"/>
      <c r="CN53" s="342"/>
      <c r="CO53" s="342"/>
      <c r="CP53" s="342"/>
      <c r="CQ53" s="342"/>
      <c r="CR53" s="343"/>
      <c r="CS53" s="271" t="s">
        <v>206</v>
      </c>
      <c r="CT53" s="272"/>
      <c r="CU53" s="298">
        <v>37499</v>
      </c>
      <c r="CV53" s="298"/>
      <c r="CW53" s="298"/>
      <c r="CX53" s="298"/>
      <c r="CY53" s="298"/>
      <c r="CZ53" s="299"/>
      <c r="DA53" s="410" t="s">
        <v>206</v>
      </c>
      <c r="DB53" s="399"/>
      <c r="DC53" s="399">
        <f t="shared" si="2"/>
        <v>37499</v>
      </c>
      <c r="DD53" s="399"/>
      <c r="DE53" s="399"/>
      <c r="DF53" s="399"/>
      <c r="DG53" s="399"/>
      <c r="DH53" s="399"/>
      <c r="DI53" s="400"/>
      <c r="DJ53" s="344" t="s">
        <v>392</v>
      </c>
      <c r="DK53" s="344"/>
      <c r="DL53" s="344"/>
      <c r="DM53" s="344"/>
      <c r="DN53" s="344"/>
      <c r="DO53" s="344"/>
      <c r="DP53" s="344"/>
      <c r="DQ53" s="344"/>
      <c r="DR53" s="344"/>
      <c r="DS53" s="344"/>
      <c r="DT53" s="345"/>
    </row>
    <row r="54" spans="1:124">
      <c r="A54" s="304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307" t="s">
        <v>313</v>
      </c>
      <c r="O54" s="102"/>
      <c r="P54" s="102"/>
      <c r="Q54" s="102"/>
      <c r="R54" s="102"/>
      <c r="S54" s="102"/>
      <c r="T54" s="102"/>
      <c r="U54" s="103"/>
      <c r="V54" s="311">
        <v>44736</v>
      </c>
      <c r="W54" s="347"/>
      <c r="X54" s="347"/>
      <c r="Y54" s="347"/>
      <c r="Z54" s="347"/>
      <c r="AA54" s="348"/>
      <c r="AB54" s="349" t="s">
        <v>252</v>
      </c>
      <c r="AC54" s="349"/>
      <c r="AD54" s="349"/>
      <c r="AE54" s="349"/>
      <c r="AF54" s="349"/>
      <c r="AG54" s="344" t="s">
        <v>345</v>
      </c>
      <c r="AH54" s="344"/>
      <c r="AI54" s="344"/>
      <c r="AJ54" s="344"/>
      <c r="AK54" s="344"/>
      <c r="AL54" s="344"/>
      <c r="AM54" s="344"/>
      <c r="AN54" s="344"/>
      <c r="AO54" s="344"/>
      <c r="AP54" s="344"/>
      <c r="AQ54" s="344"/>
      <c r="AR54" s="344"/>
      <c r="AS54" s="344"/>
      <c r="AT54" s="344"/>
      <c r="AU54" s="344"/>
      <c r="AV54" s="344"/>
      <c r="AW54" s="285" t="s">
        <v>357</v>
      </c>
      <c r="AX54" s="286"/>
      <c r="AY54" s="286"/>
      <c r="AZ54" s="286"/>
      <c r="BA54" s="286"/>
      <c r="BB54" s="286"/>
      <c r="BC54" s="286"/>
      <c r="BD54" s="286"/>
      <c r="BE54" s="286"/>
      <c r="BF54" s="286"/>
      <c r="BG54" s="286"/>
      <c r="BH54" s="286"/>
      <c r="BI54" s="286"/>
      <c r="BJ54" s="286"/>
      <c r="BK54" s="286"/>
      <c r="BL54" s="286"/>
      <c r="BM54" s="286"/>
      <c r="BN54" s="286"/>
      <c r="BO54" s="286"/>
      <c r="BP54" s="286"/>
      <c r="BQ54" s="286"/>
      <c r="BR54" s="286"/>
      <c r="BS54" s="286"/>
      <c r="BT54" s="286"/>
      <c r="BU54" s="286"/>
      <c r="BV54" s="286"/>
      <c r="BW54" s="286"/>
      <c r="BX54" s="286"/>
      <c r="BY54" s="286"/>
      <c r="BZ54" s="286"/>
      <c r="CA54" s="286"/>
      <c r="CB54" s="286"/>
      <c r="CC54" s="285" t="s">
        <v>376</v>
      </c>
      <c r="CD54" s="286"/>
      <c r="CE54" s="286"/>
      <c r="CF54" s="286"/>
      <c r="CG54" s="286"/>
      <c r="CH54" s="286"/>
      <c r="CI54" s="286"/>
      <c r="CJ54" s="286"/>
      <c r="CK54" s="341" t="s">
        <v>384</v>
      </c>
      <c r="CL54" s="342"/>
      <c r="CM54" s="342"/>
      <c r="CN54" s="342"/>
      <c r="CO54" s="342"/>
      <c r="CP54" s="342"/>
      <c r="CQ54" s="342"/>
      <c r="CR54" s="343"/>
      <c r="CS54" s="271" t="s">
        <v>206</v>
      </c>
      <c r="CT54" s="272"/>
      <c r="CU54" s="298">
        <v>34998</v>
      </c>
      <c r="CV54" s="298"/>
      <c r="CW54" s="298"/>
      <c r="CX54" s="298"/>
      <c r="CY54" s="298"/>
      <c r="CZ54" s="299"/>
      <c r="DA54" s="410" t="s">
        <v>206</v>
      </c>
      <c r="DB54" s="399"/>
      <c r="DC54" s="399">
        <f t="shared" si="2"/>
        <v>34998</v>
      </c>
      <c r="DD54" s="399"/>
      <c r="DE54" s="399"/>
      <c r="DF54" s="399"/>
      <c r="DG54" s="399"/>
      <c r="DH54" s="399"/>
      <c r="DI54" s="400"/>
      <c r="DJ54" s="344" t="s">
        <v>392</v>
      </c>
      <c r="DK54" s="344"/>
      <c r="DL54" s="344"/>
      <c r="DM54" s="344"/>
      <c r="DN54" s="344"/>
      <c r="DO54" s="344"/>
      <c r="DP54" s="344"/>
      <c r="DQ54" s="344"/>
      <c r="DR54" s="344"/>
      <c r="DS54" s="344"/>
      <c r="DT54" s="345"/>
    </row>
    <row r="55" spans="1:124">
      <c r="A55" s="304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307" t="s">
        <v>314</v>
      </c>
      <c r="O55" s="102"/>
      <c r="P55" s="102"/>
      <c r="Q55" s="102"/>
      <c r="R55" s="102"/>
      <c r="S55" s="102"/>
      <c r="T55" s="102"/>
      <c r="U55" s="103"/>
      <c r="V55" s="311">
        <v>44736</v>
      </c>
      <c r="W55" s="347"/>
      <c r="X55" s="347"/>
      <c r="Y55" s="347"/>
      <c r="Z55" s="347"/>
      <c r="AA55" s="348"/>
      <c r="AB55" s="353" t="s">
        <v>252</v>
      </c>
      <c r="AC55" s="354"/>
      <c r="AD55" s="354"/>
      <c r="AE55" s="354"/>
      <c r="AF55" s="355"/>
      <c r="AG55" s="350" t="s">
        <v>345</v>
      </c>
      <c r="AH55" s="351"/>
      <c r="AI55" s="351"/>
      <c r="AJ55" s="351"/>
      <c r="AK55" s="351"/>
      <c r="AL55" s="351"/>
      <c r="AM55" s="351"/>
      <c r="AN55" s="351"/>
      <c r="AO55" s="351"/>
      <c r="AP55" s="351"/>
      <c r="AQ55" s="351"/>
      <c r="AR55" s="351"/>
      <c r="AS55" s="351"/>
      <c r="AT55" s="351"/>
      <c r="AU55" s="351"/>
      <c r="AV55" s="356"/>
      <c r="AW55" s="262" t="s">
        <v>357</v>
      </c>
      <c r="AX55" s="90"/>
      <c r="AY55" s="90"/>
      <c r="AZ55" s="90"/>
      <c r="BA55" s="90"/>
      <c r="BB55" s="90"/>
      <c r="BC55" s="90"/>
      <c r="BD55" s="91"/>
      <c r="BE55" s="284"/>
      <c r="BF55" s="90"/>
      <c r="BG55" s="90"/>
      <c r="BH55" s="90"/>
      <c r="BI55" s="90"/>
      <c r="BJ55" s="90"/>
      <c r="BK55" s="90"/>
      <c r="BL55" s="91"/>
      <c r="BM55" s="284"/>
      <c r="BN55" s="90"/>
      <c r="BO55" s="90"/>
      <c r="BP55" s="90"/>
      <c r="BQ55" s="90"/>
      <c r="BR55" s="90"/>
      <c r="BS55" s="90"/>
      <c r="BT55" s="91"/>
      <c r="BU55" s="284"/>
      <c r="BV55" s="90"/>
      <c r="BW55" s="90"/>
      <c r="BX55" s="90"/>
      <c r="BY55" s="90"/>
      <c r="BZ55" s="90"/>
      <c r="CA55" s="90"/>
      <c r="CB55" s="91"/>
      <c r="CC55" s="262" t="s">
        <v>377</v>
      </c>
      <c r="CD55" s="90"/>
      <c r="CE55" s="90"/>
      <c r="CF55" s="90"/>
      <c r="CG55" s="90"/>
      <c r="CH55" s="90"/>
      <c r="CI55" s="90"/>
      <c r="CJ55" s="91"/>
      <c r="CK55" s="341" t="s">
        <v>385</v>
      </c>
      <c r="CL55" s="342"/>
      <c r="CM55" s="342"/>
      <c r="CN55" s="342"/>
      <c r="CO55" s="342"/>
      <c r="CP55" s="342"/>
      <c r="CQ55" s="342"/>
      <c r="CR55" s="343"/>
      <c r="CS55" s="271" t="s">
        <v>206</v>
      </c>
      <c r="CT55" s="272"/>
      <c r="CU55" s="298">
        <v>21998</v>
      </c>
      <c r="CV55" s="298"/>
      <c r="CW55" s="298"/>
      <c r="CX55" s="298"/>
      <c r="CY55" s="298"/>
      <c r="CZ55" s="299"/>
      <c r="DA55" s="410" t="s">
        <v>206</v>
      </c>
      <c r="DB55" s="399"/>
      <c r="DC55" s="399">
        <f t="shared" si="2"/>
        <v>21998</v>
      </c>
      <c r="DD55" s="399"/>
      <c r="DE55" s="399"/>
      <c r="DF55" s="399"/>
      <c r="DG55" s="399"/>
      <c r="DH55" s="399"/>
      <c r="DI55" s="400"/>
      <c r="DJ55" s="350" t="s">
        <v>392</v>
      </c>
      <c r="DK55" s="351"/>
      <c r="DL55" s="351"/>
      <c r="DM55" s="351"/>
      <c r="DN55" s="351"/>
      <c r="DO55" s="351"/>
      <c r="DP55" s="351"/>
      <c r="DQ55" s="351"/>
      <c r="DR55" s="351"/>
      <c r="DS55" s="351"/>
      <c r="DT55" s="352"/>
    </row>
    <row r="56" spans="1:124">
      <c r="A56" s="306" t="s">
        <v>308</v>
      </c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90"/>
      <c r="N56" s="307" t="s">
        <v>315</v>
      </c>
      <c r="O56" s="102"/>
      <c r="P56" s="102"/>
      <c r="Q56" s="102"/>
      <c r="R56" s="102"/>
      <c r="S56" s="102"/>
      <c r="T56" s="102"/>
      <c r="U56" s="103"/>
      <c r="V56" s="261">
        <v>1988</v>
      </c>
      <c r="W56" s="102"/>
      <c r="X56" s="102"/>
      <c r="Y56" s="102"/>
      <c r="Z56" s="102"/>
      <c r="AA56" s="103"/>
      <c r="AB56" s="291" t="s">
        <v>335</v>
      </c>
      <c r="AC56" s="295"/>
      <c r="AD56" s="295"/>
      <c r="AE56" s="295"/>
      <c r="AF56" s="296"/>
      <c r="AG56" s="262" t="s">
        <v>218</v>
      </c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1"/>
      <c r="AW56" s="284"/>
      <c r="AX56" s="90"/>
      <c r="AY56" s="90"/>
      <c r="AZ56" s="90"/>
      <c r="BA56" s="90"/>
      <c r="BB56" s="90"/>
      <c r="BC56" s="90"/>
      <c r="BD56" s="91"/>
      <c r="BE56" s="284"/>
      <c r="BF56" s="90"/>
      <c r="BG56" s="90"/>
      <c r="BH56" s="90"/>
      <c r="BI56" s="90"/>
      <c r="BJ56" s="90"/>
      <c r="BK56" s="90"/>
      <c r="BL56" s="91"/>
      <c r="BM56" s="262" t="s">
        <v>219</v>
      </c>
      <c r="BN56" s="90"/>
      <c r="BO56" s="90"/>
      <c r="BP56" s="90"/>
      <c r="BQ56" s="90"/>
      <c r="BR56" s="90"/>
      <c r="BS56" s="90"/>
      <c r="BT56" s="91"/>
      <c r="BU56" s="262" t="s">
        <v>220</v>
      </c>
      <c r="BV56" s="90"/>
      <c r="BW56" s="90"/>
      <c r="BX56" s="90"/>
      <c r="BY56" s="90"/>
      <c r="BZ56" s="90"/>
      <c r="CA56" s="90"/>
      <c r="CB56" s="91"/>
      <c r="CC56" s="262" t="s">
        <v>378</v>
      </c>
      <c r="CD56" s="90"/>
      <c r="CE56" s="90"/>
      <c r="CF56" s="90"/>
      <c r="CG56" s="90"/>
      <c r="CH56" s="90"/>
      <c r="CI56" s="90"/>
      <c r="CJ56" s="91"/>
      <c r="CK56" s="284"/>
      <c r="CL56" s="90"/>
      <c r="CM56" s="90"/>
      <c r="CN56" s="90"/>
      <c r="CO56" s="90"/>
      <c r="CP56" s="90"/>
      <c r="CQ56" s="90"/>
      <c r="CR56" s="91"/>
      <c r="CS56" s="271" t="s">
        <v>206</v>
      </c>
      <c r="CT56" s="272"/>
      <c r="CU56" s="298">
        <v>1070</v>
      </c>
      <c r="CV56" s="298"/>
      <c r="CW56" s="298"/>
      <c r="CX56" s="298"/>
      <c r="CY56" s="298"/>
      <c r="CZ56" s="299"/>
      <c r="DA56" s="274" t="s">
        <v>206</v>
      </c>
      <c r="DB56" s="275"/>
      <c r="DC56" s="275">
        <f t="shared" si="2"/>
        <v>29960</v>
      </c>
      <c r="DD56" s="275"/>
      <c r="DE56" s="275"/>
      <c r="DF56" s="275"/>
      <c r="DG56" s="275"/>
      <c r="DH56" s="275"/>
      <c r="DI56" s="276"/>
      <c r="DJ56" s="262" t="s">
        <v>305</v>
      </c>
      <c r="DK56" s="90"/>
      <c r="DL56" s="90"/>
      <c r="DM56" s="90"/>
      <c r="DN56" s="90"/>
      <c r="DO56" s="90"/>
      <c r="DP56" s="90"/>
      <c r="DQ56" s="90"/>
      <c r="DR56" s="90"/>
      <c r="DS56" s="90"/>
      <c r="DT56" s="263"/>
    </row>
    <row r="57" spans="1:124">
      <c r="A57" s="346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90"/>
      <c r="N57" s="309" t="s">
        <v>316</v>
      </c>
      <c r="O57" s="90"/>
      <c r="P57" s="90"/>
      <c r="Q57" s="90"/>
      <c r="R57" s="90"/>
      <c r="S57" s="90"/>
      <c r="T57" s="90"/>
      <c r="U57" s="91"/>
      <c r="V57" s="261">
        <v>1988</v>
      </c>
      <c r="W57" s="102"/>
      <c r="X57" s="102"/>
      <c r="Y57" s="102"/>
      <c r="Z57" s="102"/>
      <c r="AA57" s="103"/>
      <c r="AB57" s="291" t="s">
        <v>253</v>
      </c>
      <c r="AC57" s="295"/>
      <c r="AD57" s="295"/>
      <c r="AE57" s="295"/>
      <c r="AF57" s="296"/>
      <c r="AG57" s="262" t="s">
        <v>259</v>
      </c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1"/>
      <c r="AW57" s="262" t="s">
        <v>358</v>
      </c>
      <c r="AX57" s="90"/>
      <c r="AY57" s="90"/>
      <c r="AZ57" s="90"/>
      <c r="BA57" s="90"/>
      <c r="BB57" s="90"/>
      <c r="BC57" s="90"/>
      <c r="BD57" s="91"/>
      <c r="BE57" s="284"/>
      <c r="BF57" s="90"/>
      <c r="BG57" s="90"/>
      <c r="BH57" s="90"/>
      <c r="BI57" s="90"/>
      <c r="BJ57" s="90"/>
      <c r="BK57" s="90"/>
      <c r="BL57" s="91"/>
      <c r="BM57" s="262" t="s">
        <v>286</v>
      </c>
      <c r="BN57" s="90"/>
      <c r="BO57" s="90"/>
      <c r="BP57" s="90"/>
      <c r="BQ57" s="90"/>
      <c r="BR57" s="90"/>
      <c r="BS57" s="90"/>
      <c r="BT57" s="91"/>
      <c r="BU57" s="262" t="s">
        <v>372</v>
      </c>
      <c r="BV57" s="90"/>
      <c r="BW57" s="90"/>
      <c r="BX57" s="90"/>
      <c r="BY57" s="90"/>
      <c r="BZ57" s="90"/>
      <c r="CA57" s="90"/>
      <c r="CB57" s="91"/>
      <c r="CC57" s="284"/>
      <c r="CD57" s="90"/>
      <c r="CE57" s="90"/>
      <c r="CF57" s="90"/>
      <c r="CG57" s="90"/>
      <c r="CH57" s="90"/>
      <c r="CI57" s="90"/>
      <c r="CJ57" s="91"/>
      <c r="CK57" s="262" t="s">
        <v>386</v>
      </c>
      <c r="CL57" s="90"/>
      <c r="CM57" s="90"/>
      <c r="CN57" s="90"/>
      <c r="CO57" s="90"/>
      <c r="CP57" s="90"/>
      <c r="CQ57" s="90"/>
      <c r="CR57" s="91"/>
      <c r="CS57" s="271" t="s">
        <v>206</v>
      </c>
      <c r="CT57" s="272"/>
      <c r="CU57" s="298">
        <v>730</v>
      </c>
      <c r="CV57" s="298"/>
      <c r="CW57" s="298"/>
      <c r="CX57" s="298"/>
      <c r="CY57" s="298"/>
      <c r="CZ57" s="299"/>
      <c r="DA57" s="274" t="s">
        <v>206</v>
      </c>
      <c r="DB57" s="275"/>
      <c r="DC57" s="275">
        <f t="shared" si="2"/>
        <v>3650</v>
      </c>
      <c r="DD57" s="275"/>
      <c r="DE57" s="275"/>
      <c r="DF57" s="275"/>
      <c r="DG57" s="275"/>
      <c r="DH57" s="275"/>
      <c r="DI57" s="276"/>
      <c r="DJ57" s="262" t="s">
        <v>393</v>
      </c>
      <c r="DK57" s="90"/>
      <c r="DL57" s="90"/>
      <c r="DM57" s="90"/>
      <c r="DN57" s="90"/>
      <c r="DO57" s="90"/>
      <c r="DP57" s="90"/>
      <c r="DQ57" s="90"/>
      <c r="DR57" s="90"/>
      <c r="DS57" s="90"/>
      <c r="DT57" s="263"/>
    </row>
    <row r="58" spans="1:124">
      <c r="A58" s="288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90"/>
      <c r="N58" s="309" t="s">
        <v>317</v>
      </c>
      <c r="O58" s="90"/>
      <c r="P58" s="90"/>
      <c r="Q58" s="90"/>
      <c r="R58" s="90"/>
      <c r="S58" s="90"/>
      <c r="T58" s="90"/>
      <c r="U58" s="91"/>
      <c r="V58" s="261">
        <v>1988</v>
      </c>
      <c r="W58" s="102"/>
      <c r="X58" s="102"/>
      <c r="Y58" s="102"/>
      <c r="Z58" s="102"/>
      <c r="AA58" s="103"/>
      <c r="AB58" s="291" t="s">
        <v>252</v>
      </c>
      <c r="AC58" s="295"/>
      <c r="AD58" s="295"/>
      <c r="AE58" s="295"/>
      <c r="AF58" s="296"/>
      <c r="AG58" s="301" t="s">
        <v>346</v>
      </c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3"/>
      <c r="AW58" s="284"/>
      <c r="AX58" s="90"/>
      <c r="AY58" s="90"/>
      <c r="AZ58" s="90"/>
      <c r="BA58" s="90"/>
      <c r="BB58" s="90"/>
      <c r="BC58" s="90"/>
      <c r="BD58" s="91"/>
      <c r="BE58" s="284"/>
      <c r="BF58" s="90"/>
      <c r="BG58" s="90"/>
      <c r="BH58" s="90"/>
      <c r="BI58" s="90"/>
      <c r="BJ58" s="90"/>
      <c r="BK58" s="90"/>
      <c r="BL58" s="91"/>
      <c r="BM58" s="262" t="s">
        <v>219</v>
      </c>
      <c r="BN58" s="90"/>
      <c r="BO58" s="90"/>
      <c r="BP58" s="90"/>
      <c r="BQ58" s="90"/>
      <c r="BR58" s="90"/>
      <c r="BS58" s="90"/>
      <c r="BT58" s="91"/>
      <c r="BU58" s="262" t="s">
        <v>220</v>
      </c>
      <c r="BV58" s="90"/>
      <c r="BW58" s="90"/>
      <c r="BX58" s="90"/>
      <c r="BY58" s="90"/>
      <c r="BZ58" s="90"/>
      <c r="CA58" s="90"/>
      <c r="CB58" s="91"/>
      <c r="CC58" s="284"/>
      <c r="CD58" s="90"/>
      <c r="CE58" s="90"/>
      <c r="CF58" s="90"/>
      <c r="CG58" s="90"/>
      <c r="CH58" s="90"/>
      <c r="CI58" s="90"/>
      <c r="CJ58" s="91"/>
      <c r="CK58" s="284"/>
      <c r="CL58" s="90"/>
      <c r="CM58" s="90"/>
      <c r="CN58" s="90"/>
      <c r="CO58" s="90"/>
      <c r="CP58" s="90"/>
      <c r="CQ58" s="90"/>
      <c r="CR58" s="91"/>
      <c r="CS58" s="271" t="s">
        <v>206</v>
      </c>
      <c r="CT58" s="272"/>
      <c r="CU58" s="298">
        <v>3949.4</v>
      </c>
      <c r="CV58" s="298"/>
      <c r="CW58" s="298"/>
      <c r="CX58" s="298"/>
      <c r="CY58" s="298"/>
      <c r="CZ58" s="299"/>
      <c r="DA58" s="274" t="s">
        <v>206</v>
      </c>
      <c r="DB58" s="275"/>
      <c r="DC58" s="275">
        <f t="shared" si="2"/>
        <v>3949.4</v>
      </c>
      <c r="DD58" s="275"/>
      <c r="DE58" s="275"/>
      <c r="DF58" s="275"/>
      <c r="DG58" s="275"/>
      <c r="DH58" s="275"/>
      <c r="DI58" s="276"/>
      <c r="DJ58" s="262" t="s">
        <v>305</v>
      </c>
      <c r="DK58" s="90"/>
      <c r="DL58" s="90"/>
      <c r="DM58" s="90"/>
      <c r="DN58" s="90"/>
      <c r="DO58" s="90"/>
      <c r="DP58" s="90"/>
      <c r="DQ58" s="90"/>
      <c r="DR58" s="90"/>
      <c r="DS58" s="90"/>
      <c r="DT58" s="263"/>
    </row>
    <row r="59" spans="1:124">
      <c r="A59" s="288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90"/>
      <c r="N59" s="309" t="s">
        <v>318</v>
      </c>
      <c r="O59" s="90"/>
      <c r="P59" s="90"/>
      <c r="Q59" s="90"/>
      <c r="R59" s="90"/>
      <c r="S59" s="90"/>
      <c r="T59" s="90"/>
      <c r="U59" s="91"/>
      <c r="V59" s="316">
        <v>1989</v>
      </c>
      <c r="W59" s="102"/>
      <c r="X59" s="102"/>
      <c r="Y59" s="102"/>
      <c r="Z59" s="102"/>
      <c r="AA59" s="103"/>
      <c r="AB59" s="291" t="s">
        <v>336</v>
      </c>
      <c r="AC59" s="295"/>
      <c r="AD59" s="295"/>
      <c r="AE59" s="295"/>
      <c r="AF59" s="296"/>
      <c r="AG59" s="262" t="s">
        <v>347</v>
      </c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1"/>
      <c r="AW59" s="286"/>
      <c r="AX59" s="286"/>
      <c r="AY59" s="286"/>
      <c r="AZ59" s="286"/>
      <c r="BA59" s="286"/>
      <c r="BB59" s="286"/>
      <c r="BC59" s="286"/>
      <c r="BD59" s="286"/>
      <c r="BE59" s="286"/>
      <c r="BF59" s="286"/>
      <c r="BG59" s="286"/>
      <c r="BH59" s="286"/>
      <c r="BI59" s="286"/>
      <c r="BJ59" s="286"/>
      <c r="BK59" s="286"/>
      <c r="BL59" s="286"/>
      <c r="BM59" s="285" t="s">
        <v>290</v>
      </c>
      <c r="BN59" s="286"/>
      <c r="BO59" s="286"/>
      <c r="BP59" s="286"/>
      <c r="BQ59" s="286"/>
      <c r="BR59" s="286"/>
      <c r="BS59" s="286"/>
      <c r="BT59" s="286"/>
      <c r="BU59" s="285" t="s">
        <v>373</v>
      </c>
      <c r="BV59" s="286"/>
      <c r="BW59" s="286"/>
      <c r="BX59" s="286"/>
      <c r="BY59" s="286"/>
      <c r="BZ59" s="286"/>
      <c r="CA59" s="286"/>
      <c r="CB59" s="286"/>
      <c r="CC59" s="286"/>
      <c r="CD59" s="286"/>
      <c r="CE59" s="286"/>
      <c r="CF59" s="286"/>
      <c r="CG59" s="286"/>
      <c r="CH59" s="286"/>
      <c r="CI59" s="286"/>
      <c r="CJ59" s="286"/>
      <c r="CK59" s="286"/>
      <c r="CL59" s="286"/>
      <c r="CM59" s="286"/>
      <c r="CN59" s="286"/>
      <c r="CO59" s="286"/>
      <c r="CP59" s="286"/>
      <c r="CQ59" s="286"/>
      <c r="CR59" s="286"/>
      <c r="CS59" s="271" t="s">
        <v>206</v>
      </c>
      <c r="CT59" s="272"/>
      <c r="CU59" s="298">
        <v>50</v>
      </c>
      <c r="CV59" s="298"/>
      <c r="CW59" s="298"/>
      <c r="CX59" s="298"/>
      <c r="CY59" s="298"/>
      <c r="CZ59" s="299"/>
      <c r="DA59" s="274" t="s">
        <v>206</v>
      </c>
      <c r="DB59" s="275"/>
      <c r="DC59" s="275">
        <f t="shared" si="2"/>
        <v>1350</v>
      </c>
      <c r="DD59" s="275"/>
      <c r="DE59" s="275"/>
      <c r="DF59" s="275"/>
      <c r="DG59" s="275"/>
      <c r="DH59" s="275"/>
      <c r="DI59" s="276"/>
      <c r="DJ59" s="262" t="s">
        <v>305</v>
      </c>
      <c r="DK59" s="90"/>
      <c r="DL59" s="90"/>
      <c r="DM59" s="90"/>
      <c r="DN59" s="90"/>
      <c r="DO59" s="90"/>
      <c r="DP59" s="90"/>
      <c r="DQ59" s="90"/>
      <c r="DR59" s="90"/>
      <c r="DS59" s="90"/>
      <c r="DT59" s="263"/>
    </row>
    <row r="60" spans="1:124">
      <c r="A60" s="288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90"/>
      <c r="N60" s="262" t="s">
        <v>319</v>
      </c>
      <c r="O60" s="90"/>
      <c r="P60" s="90"/>
      <c r="Q60" s="90"/>
      <c r="R60" s="90"/>
      <c r="S60" s="90"/>
      <c r="T60" s="90"/>
      <c r="U60" s="91"/>
      <c r="V60" s="261">
        <v>1988</v>
      </c>
      <c r="W60" s="102"/>
      <c r="X60" s="102"/>
      <c r="Y60" s="102"/>
      <c r="Z60" s="102"/>
      <c r="AA60" s="103"/>
      <c r="AB60" s="291" t="s">
        <v>252</v>
      </c>
      <c r="AC60" s="295"/>
      <c r="AD60" s="295"/>
      <c r="AE60" s="295"/>
      <c r="AF60" s="296"/>
      <c r="AG60" s="357" t="s">
        <v>390</v>
      </c>
      <c r="AH60" s="358"/>
      <c r="AI60" s="358"/>
      <c r="AJ60" s="358"/>
      <c r="AK60" s="358"/>
      <c r="AL60" s="358"/>
      <c r="AM60" s="358"/>
      <c r="AN60" s="358"/>
      <c r="AO60" s="358"/>
      <c r="AP60" s="358"/>
      <c r="AQ60" s="358"/>
      <c r="AR60" s="358"/>
      <c r="AS60" s="358"/>
      <c r="AT60" s="358"/>
      <c r="AU60" s="358"/>
      <c r="AV60" s="359"/>
      <c r="AW60" s="284"/>
      <c r="AX60" s="90"/>
      <c r="AY60" s="90"/>
      <c r="AZ60" s="90"/>
      <c r="BA60" s="90"/>
      <c r="BB60" s="90"/>
      <c r="BC60" s="90"/>
      <c r="BD60" s="91"/>
      <c r="BE60" s="284"/>
      <c r="BF60" s="90"/>
      <c r="BG60" s="90"/>
      <c r="BH60" s="90"/>
      <c r="BI60" s="90"/>
      <c r="BJ60" s="90"/>
      <c r="BK60" s="90"/>
      <c r="BL60" s="91"/>
      <c r="BM60" s="262" t="s">
        <v>286</v>
      </c>
      <c r="BN60" s="90"/>
      <c r="BO60" s="90"/>
      <c r="BP60" s="90"/>
      <c r="BQ60" s="90"/>
      <c r="BR60" s="90"/>
      <c r="BS60" s="90"/>
      <c r="BT60" s="91"/>
      <c r="BU60" s="262" t="s">
        <v>373</v>
      </c>
      <c r="BV60" s="90"/>
      <c r="BW60" s="90"/>
      <c r="BX60" s="90"/>
      <c r="BY60" s="90"/>
      <c r="BZ60" s="90"/>
      <c r="CA60" s="90"/>
      <c r="CB60" s="91"/>
      <c r="CC60" s="284"/>
      <c r="CD60" s="90"/>
      <c r="CE60" s="90"/>
      <c r="CF60" s="90"/>
      <c r="CG60" s="90"/>
      <c r="CH60" s="90"/>
      <c r="CI60" s="90"/>
      <c r="CJ60" s="91"/>
      <c r="CK60" s="284"/>
      <c r="CL60" s="90"/>
      <c r="CM60" s="90"/>
      <c r="CN60" s="90"/>
      <c r="CO60" s="90"/>
      <c r="CP60" s="90"/>
      <c r="CQ60" s="90"/>
      <c r="CR60" s="91"/>
      <c r="CS60" s="271" t="s">
        <v>206</v>
      </c>
      <c r="CT60" s="272"/>
      <c r="CU60" s="298">
        <v>450</v>
      </c>
      <c r="CV60" s="298"/>
      <c r="CW60" s="298"/>
      <c r="CX60" s="298"/>
      <c r="CY60" s="298"/>
      <c r="CZ60" s="299"/>
      <c r="DA60" s="274" t="s">
        <v>206</v>
      </c>
      <c r="DB60" s="275"/>
      <c r="DC60" s="275">
        <f t="shared" si="2"/>
        <v>450</v>
      </c>
      <c r="DD60" s="275"/>
      <c r="DE60" s="275"/>
      <c r="DF60" s="275"/>
      <c r="DG60" s="275"/>
      <c r="DH60" s="275"/>
      <c r="DI60" s="276"/>
      <c r="DJ60" s="262" t="s">
        <v>305</v>
      </c>
      <c r="DK60" s="90"/>
      <c r="DL60" s="90"/>
      <c r="DM60" s="90"/>
      <c r="DN60" s="90"/>
      <c r="DO60" s="90"/>
      <c r="DP60" s="90"/>
      <c r="DQ60" s="90"/>
      <c r="DR60" s="90"/>
      <c r="DS60" s="90"/>
      <c r="DT60" s="263"/>
    </row>
    <row r="61" spans="1:124">
      <c r="A61" s="304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62" t="s">
        <v>320</v>
      </c>
      <c r="O61" s="90"/>
      <c r="P61" s="90"/>
      <c r="Q61" s="90"/>
      <c r="R61" s="90"/>
      <c r="S61" s="90"/>
      <c r="T61" s="90"/>
      <c r="U61" s="91"/>
      <c r="V61" s="261">
        <v>1988</v>
      </c>
      <c r="W61" s="102"/>
      <c r="X61" s="102"/>
      <c r="Y61" s="102"/>
      <c r="Z61" s="102"/>
      <c r="AA61" s="103"/>
      <c r="AB61" s="291" t="s">
        <v>252</v>
      </c>
      <c r="AC61" s="295"/>
      <c r="AD61" s="295"/>
      <c r="AE61" s="295"/>
      <c r="AF61" s="296"/>
      <c r="AG61" s="357" t="s">
        <v>390</v>
      </c>
      <c r="AH61" s="358"/>
      <c r="AI61" s="358"/>
      <c r="AJ61" s="358"/>
      <c r="AK61" s="358"/>
      <c r="AL61" s="358"/>
      <c r="AM61" s="358"/>
      <c r="AN61" s="358"/>
      <c r="AO61" s="358"/>
      <c r="AP61" s="358"/>
      <c r="AQ61" s="358"/>
      <c r="AR61" s="358"/>
      <c r="AS61" s="358"/>
      <c r="AT61" s="358"/>
      <c r="AU61" s="358"/>
      <c r="AV61" s="359"/>
      <c r="AW61" s="284"/>
      <c r="AX61" s="90"/>
      <c r="AY61" s="90"/>
      <c r="AZ61" s="90"/>
      <c r="BA61" s="90"/>
      <c r="BB61" s="90"/>
      <c r="BC61" s="90"/>
      <c r="BD61" s="91"/>
      <c r="BE61" s="284"/>
      <c r="BF61" s="90"/>
      <c r="BG61" s="90"/>
      <c r="BH61" s="90"/>
      <c r="BI61" s="90"/>
      <c r="BJ61" s="90"/>
      <c r="BK61" s="90"/>
      <c r="BL61" s="91"/>
      <c r="BM61" s="262" t="s">
        <v>286</v>
      </c>
      <c r="BN61" s="90"/>
      <c r="BO61" s="90"/>
      <c r="BP61" s="90"/>
      <c r="BQ61" s="90"/>
      <c r="BR61" s="90"/>
      <c r="BS61" s="90"/>
      <c r="BT61" s="91"/>
      <c r="BU61" s="262" t="s">
        <v>373</v>
      </c>
      <c r="BV61" s="90"/>
      <c r="BW61" s="90"/>
      <c r="BX61" s="90"/>
      <c r="BY61" s="90"/>
      <c r="BZ61" s="90"/>
      <c r="CA61" s="90"/>
      <c r="CB61" s="91"/>
      <c r="CC61" s="284"/>
      <c r="CD61" s="90"/>
      <c r="CE61" s="90"/>
      <c r="CF61" s="90"/>
      <c r="CG61" s="90"/>
      <c r="CH61" s="90"/>
      <c r="CI61" s="90"/>
      <c r="CJ61" s="91"/>
      <c r="CK61" s="284"/>
      <c r="CL61" s="90"/>
      <c r="CM61" s="90"/>
      <c r="CN61" s="90"/>
      <c r="CO61" s="90"/>
      <c r="CP61" s="90"/>
      <c r="CQ61" s="90"/>
      <c r="CR61" s="91"/>
      <c r="CS61" s="271" t="s">
        <v>206</v>
      </c>
      <c r="CT61" s="272"/>
      <c r="CU61" s="298">
        <v>450</v>
      </c>
      <c r="CV61" s="298"/>
      <c r="CW61" s="298"/>
      <c r="CX61" s="298"/>
      <c r="CY61" s="298"/>
      <c r="CZ61" s="299"/>
      <c r="DA61" s="274" t="s">
        <v>206</v>
      </c>
      <c r="DB61" s="275"/>
      <c r="DC61" s="275">
        <f t="shared" si="2"/>
        <v>450</v>
      </c>
      <c r="DD61" s="275"/>
      <c r="DE61" s="275"/>
      <c r="DF61" s="275"/>
      <c r="DG61" s="275"/>
      <c r="DH61" s="275"/>
      <c r="DI61" s="276"/>
      <c r="DJ61" s="262" t="s">
        <v>305</v>
      </c>
      <c r="DK61" s="90"/>
      <c r="DL61" s="90"/>
      <c r="DM61" s="90"/>
      <c r="DN61" s="90"/>
      <c r="DO61" s="90"/>
      <c r="DP61" s="90"/>
      <c r="DQ61" s="90"/>
      <c r="DR61" s="90"/>
      <c r="DS61" s="90"/>
      <c r="DT61" s="263"/>
    </row>
    <row r="62" spans="1:124">
      <c r="A62" s="304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85" t="s">
        <v>321</v>
      </c>
      <c r="O62" s="286"/>
      <c r="P62" s="286"/>
      <c r="Q62" s="286"/>
      <c r="R62" s="286"/>
      <c r="S62" s="286"/>
      <c r="T62" s="286"/>
      <c r="U62" s="286"/>
      <c r="V62" s="261">
        <v>1988</v>
      </c>
      <c r="W62" s="102"/>
      <c r="X62" s="102"/>
      <c r="Y62" s="102"/>
      <c r="Z62" s="102"/>
      <c r="AA62" s="103"/>
      <c r="AB62" s="312" t="s">
        <v>391</v>
      </c>
      <c r="AC62" s="313"/>
      <c r="AD62" s="313"/>
      <c r="AE62" s="313"/>
      <c r="AF62" s="313"/>
      <c r="AG62" s="357" t="s">
        <v>390</v>
      </c>
      <c r="AH62" s="358"/>
      <c r="AI62" s="358"/>
      <c r="AJ62" s="358"/>
      <c r="AK62" s="358"/>
      <c r="AL62" s="358"/>
      <c r="AM62" s="358"/>
      <c r="AN62" s="358"/>
      <c r="AO62" s="358"/>
      <c r="AP62" s="358"/>
      <c r="AQ62" s="358"/>
      <c r="AR62" s="358"/>
      <c r="AS62" s="358"/>
      <c r="AT62" s="358"/>
      <c r="AU62" s="358"/>
      <c r="AV62" s="359"/>
      <c r="AW62" s="286"/>
      <c r="AX62" s="286"/>
      <c r="AY62" s="286"/>
      <c r="AZ62" s="286"/>
      <c r="BA62" s="286"/>
      <c r="BB62" s="286"/>
      <c r="BC62" s="286"/>
      <c r="BD62" s="286"/>
      <c r="BE62" s="286"/>
      <c r="BF62" s="286"/>
      <c r="BG62" s="286"/>
      <c r="BH62" s="286"/>
      <c r="BI62" s="286"/>
      <c r="BJ62" s="286"/>
      <c r="BK62" s="286"/>
      <c r="BL62" s="286"/>
      <c r="BM62" s="262" t="s">
        <v>286</v>
      </c>
      <c r="BN62" s="90"/>
      <c r="BO62" s="90"/>
      <c r="BP62" s="90"/>
      <c r="BQ62" s="90"/>
      <c r="BR62" s="90"/>
      <c r="BS62" s="90"/>
      <c r="BT62" s="91"/>
      <c r="BU62" s="262" t="s">
        <v>373</v>
      </c>
      <c r="BV62" s="90"/>
      <c r="BW62" s="90"/>
      <c r="BX62" s="90"/>
      <c r="BY62" s="90"/>
      <c r="BZ62" s="90"/>
      <c r="CA62" s="90"/>
      <c r="CB62" s="91"/>
      <c r="CC62" s="286"/>
      <c r="CD62" s="286"/>
      <c r="CE62" s="286"/>
      <c r="CF62" s="286"/>
      <c r="CG62" s="286"/>
      <c r="CH62" s="286"/>
      <c r="CI62" s="286"/>
      <c r="CJ62" s="286"/>
      <c r="CK62" s="286"/>
      <c r="CL62" s="286"/>
      <c r="CM62" s="286"/>
      <c r="CN62" s="286"/>
      <c r="CO62" s="286"/>
      <c r="CP62" s="286"/>
      <c r="CQ62" s="286"/>
      <c r="CR62" s="286"/>
      <c r="CS62" s="271" t="s">
        <v>206</v>
      </c>
      <c r="CT62" s="272"/>
      <c r="CU62" s="298">
        <v>450</v>
      </c>
      <c r="CV62" s="298"/>
      <c r="CW62" s="298"/>
      <c r="CX62" s="298"/>
      <c r="CY62" s="298"/>
      <c r="CZ62" s="299"/>
      <c r="DA62" s="274" t="s">
        <v>206</v>
      </c>
      <c r="DB62" s="275"/>
      <c r="DC62" s="275">
        <f t="shared" si="2"/>
        <v>9000</v>
      </c>
      <c r="DD62" s="275"/>
      <c r="DE62" s="275"/>
      <c r="DF62" s="275"/>
      <c r="DG62" s="275"/>
      <c r="DH62" s="275"/>
      <c r="DI62" s="276"/>
      <c r="DJ62" s="262" t="s">
        <v>305</v>
      </c>
      <c r="DK62" s="90"/>
      <c r="DL62" s="90"/>
      <c r="DM62" s="90"/>
      <c r="DN62" s="90"/>
      <c r="DO62" s="90"/>
      <c r="DP62" s="90"/>
      <c r="DQ62" s="90"/>
      <c r="DR62" s="90"/>
      <c r="DS62" s="90"/>
      <c r="DT62" s="263"/>
    </row>
    <row r="63" spans="1:124">
      <c r="A63" s="304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85" t="s">
        <v>322</v>
      </c>
      <c r="O63" s="286"/>
      <c r="P63" s="286"/>
      <c r="Q63" s="286"/>
      <c r="R63" s="286"/>
      <c r="S63" s="286"/>
      <c r="T63" s="286"/>
      <c r="U63" s="286"/>
      <c r="V63" s="297">
        <v>35285</v>
      </c>
      <c r="W63" s="102"/>
      <c r="X63" s="102"/>
      <c r="Y63" s="102"/>
      <c r="Z63" s="102"/>
      <c r="AA63" s="103"/>
      <c r="AB63" s="312" t="s">
        <v>252</v>
      </c>
      <c r="AC63" s="313"/>
      <c r="AD63" s="313"/>
      <c r="AE63" s="313"/>
      <c r="AF63" s="313"/>
      <c r="AG63" s="285" t="s">
        <v>348</v>
      </c>
      <c r="AH63" s="286"/>
      <c r="AI63" s="286"/>
      <c r="AJ63" s="286"/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  <c r="AV63" s="286"/>
      <c r="AW63" s="286"/>
      <c r="AX63" s="286"/>
      <c r="AY63" s="286"/>
      <c r="AZ63" s="286"/>
      <c r="BA63" s="286"/>
      <c r="BB63" s="286"/>
      <c r="BC63" s="286"/>
      <c r="BD63" s="286"/>
      <c r="BE63" s="286"/>
      <c r="BF63" s="286"/>
      <c r="BG63" s="286"/>
      <c r="BH63" s="286"/>
      <c r="BI63" s="286"/>
      <c r="BJ63" s="286"/>
      <c r="BK63" s="286"/>
      <c r="BL63" s="286"/>
      <c r="BM63" s="285" t="s">
        <v>219</v>
      </c>
      <c r="BN63" s="286"/>
      <c r="BO63" s="286"/>
      <c r="BP63" s="286"/>
      <c r="BQ63" s="286"/>
      <c r="BR63" s="286"/>
      <c r="BS63" s="286"/>
      <c r="BT63" s="286"/>
      <c r="BU63" s="262" t="s">
        <v>374</v>
      </c>
      <c r="BV63" s="90"/>
      <c r="BW63" s="90"/>
      <c r="BX63" s="90"/>
      <c r="BY63" s="90"/>
      <c r="BZ63" s="90"/>
      <c r="CA63" s="90"/>
      <c r="CB63" s="91"/>
      <c r="CC63" s="286"/>
      <c r="CD63" s="286"/>
      <c r="CE63" s="286"/>
      <c r="CF63" s="286"/>
      <c r="CG63" s="286"/>
      <c r="CH63" s="286"/>
      <c r="CI63" s="286"/>
      <c r="CJ63" s="286"/>
      <c r="CK63" s="286"/>
      <c r="CL63" s="286"/>
      <c r="CM63" s="286"/>
      <c r="CN63" s="286"/>
      <c r="CO63" s="286"/>
      <c r="CP63" s="286"/>
      <c r="CQ63" s="286"/>
      <c r="CR63" s="286"/>
      <c r="CS63" s="271" t="s">
        <v>206</v>
      </c>
      <c r="CT63" s="272"/>
      <c r="CU63" s="298">
        <v>3800</v>
      </c>
      <c r="CV63" s="298"/>
      <c r="CW63" s="298"/>
      <c r="CX63" s="298"/>
      <c r="CY63" s="298"/>
      <c r="CZ63" s="299"/>
      <c r="DA63" s="274" t="s">
        <v>206</v>
      </c>
      <c r="DB63" s="275"/>
      <c r="DC63" s="275">
        <f t="shared" si="2"/>
        <v>3800</v>
      </c>
      <c r="DD63" s="275"/>
      <c r="DE63" s="275"/>
      <c r="DF63" s="275"/>
      <c r="DG63" s="275"/>
      <c r="DH63" s="275"/>
      <c r="DI63" s="276"/>
      <c r="DJ63" s="262" t="s">
        <v>305</v>
      </c>
      <c r="DK63" s="90"/>
      <c r="DL63" s="90"/>
      <c r="DM63" s="90"/>
      <c r="DN63" s="90"/>
      <c r="DO63" s="90"/>
      <c r="DP63" s="90"/>
      <c r="DQ63" s="90"/>
      <c r="DR63" s="90"/>
      <c r="DS63" s="90"/>
      <c r="DT63" s="263"/>
    </row>
    <row r="64" spans="1:124">
      <c r="A64" s="288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90"/>
      <c r="N64" s="262" t="s">
        <v>323</v>
      </c>
      <c r="O64" s="90"/>
      <c r="P64" s="90"/>
      <c r="Q64" s="90"/>
      <c r="R64" s="90"/>
      <c r="S64" s="90"/>
      <c r="T64" s="90"/>
      <c r="U64" s="91"/>
      <c r="V64" s="261">
        <v>1988</v>
      </c>
      <c r="W64" s="102"/>
      <c r="X64" s="102"/>
      <c r="Y64" s="102"/>
      <c r="Z64" s="102"/>
      <c r="AA64" s="103"/>
      <c r="AB64" s="291" t="s">
        <v>252</v>
      </c>
      <c r="AC64" s="295"/>
      <c r="AD64" s="295"/>
      <c r="AE64" s="295"/>
      <c r="AF64" s="296"/>
      <c r="AG64" s="262" t="s">
        <v>349</v>
      </c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1"/>
      <c r="AW64" s="262" t="s">
        <v>359</v>
      </c>
      <c r="AX64" s="90"/>
      <c r="AY64" s="90"/>
      <c r="AZ64" s="90"/>
      <c r="BA64" s="90"/>
      <c r="BB64" s="90"/>
      <c r="BC64" s="90"/>
      <c r="BD64" s="91"/>
      <c r="BE64" s="284"/>
      <c r="BF64" s="90"/>
      <c r="BG64" s="90"/>
      <c r="BH64" s="90"/>
      <c r="BI64" s="90"/>
      <c r="BJ64" s="90"/>
      <c r="BK64" s="90"/>
      <c r="BL64" s="91"/>
      <c r="BM64" s="285" t="s">
        <v>219</v>
      </c>
      <c r="BN64" s="286"/>
      <c r="BO64" s="286"/>
      <c r="BP64" s="286"/>
      <c r="BQ64" s="286"/>
      <c r="BR64" s="286"/>
      <c r="BS64" s="286"/>
      <c r="BT64" s="286"/>
      <c r="BU64" s="262" t="s">
        <v>292</v>
      </c>
      <c r="BV64" s="90"/>
      <c r="BW64" s="90"/>
      <c r="BX64" s="90"/>
      <c r="BY64" s="90"/>
      <c r="BZ64" s="90"/>
      <c r="CA64" s="90"/>
      <c r="CB64" s="91"/>
      <c r="CC64" s="284"/>
      <c r="CD64" s="90"/>
      <c r="CE64" s="90"/>
      <c r="CF64" s="90"/>
      <c r="CG64" s="90"/>
      <c r="CH64" s="90"/>
      <c r="CI64" s="90"/>
      <c r="CJ64" s="91"/>
      <c r="CK64" s="284"/>
      <c r="CL64" s="90"/>
      <c r="CM64" s="90"/>
      <c r="CN64" s="90"/>
      <c r="CO64" s="90"/>
      <c r="CP64" s="90"/>
      <c r="CQ64" s="90"/>
      <c r="CR64" s="91"/>
      <c r="CS64" s="271" t="s">
        <v>206</v>
      </c>
      <c r="CT64" s="272"/>
      <c r="CU64" s="298">
        <v>200</v>
      </c>
      <c r="CV64" s="298"/>
      <c r="CW64" s="298"/>
      <c r="CX64" s="298"/>
      <c r="CY64" s="298"/>
      <c r="CZ64" s="299"/>
      <c r="DA64" s="274" t="s">
        <v>206</v>
      </c>
      <c r="DB64" s="275"/>
      <c r="DC64" s="275">
        <f t="shared" si="2"/>
        <v>200</v>
      </c>
      <c r="DD64" s="275"/>
      <c r="DE64" s="275"/>
      <c r="DF64" s="275"/>
      <c r="DG64" s="275"/>
      <c r="DH64" s="275"/>
      <c r="DI64" s="276"/>
      <c r="DJ64" s="262" t="s">
        <v>305</v>
      </c>
      <c r="DK64" s="90"/>
      <c r="DL64" s="90"/>
      <c r="DM64" s="90"/>
      <c r="DN64" s="90"/>
      <c r="DO64" s="90"/>
      <c r="DP64" s="90"/>
      <c r="DQ64" s="90"/>
      <c r="DR64" s="90"/>
      <c r="DS64" s="90"/>
      <c r="DT64" s="263"/>
    </row>
    <row r="65" spans="1:124">
      <c r="A65" s="288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90"/>
      <c r="N65" s="262" t="s">
        <v>324</v>
      </c>
      <c r="O65" s="90"/>
      <c r="P65" s="90"/>
      <c r="Q65" s="90"/>
      <c r="R65" s="90"/>
      <c r="S65" s="90"/>
      <c r="T65" s="90"/>
      <c r="U65" s="91"/>
      <c r="V65" s="261">
        <v>1988</v>
      </c>
      <c r="W65" s="102"/>
      <c r="X65" s="102"/>
      <c r="Y65" s="102"/>
      <c r="Z65" s="102"/>
      <c r="AA65" s="103"/>
      <c r="AB65" s="291" t="s">
        <v>217</v>
      </c>
      <c r="AC65" s="295"/>
      <c r="AD65" s="295"/>
      <c r="AE65" s="295"/>
      <c r="AF65" s="296"/>
      <c r="AG65" s="262" t="s">
        <v>218</v>
      </c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1"/>
      <c r="AW65" s="284"/>
      <c r="AX65" s="90"/>
      <c r="AY65" s="90"/>
      <c r="AZ65" s="90"/>
      <c r="BA65" s="90"/>
      <c r="BB65" s="90"/>
      <c r="BC65" s="90"/>
      <c r="BD65" s="91"/>
      <c r="BE65" s="284"/>
      <c r="BF65" s="90"/>
      <c r="BG65" s="90"/>
      <c r="BH65" s="90"/>
      <c r="BI65" s="90"/>
      <c r="BJ65" s="90"/>
      <c r="BK65" s="90"/>
      <c r="BL65" s="91"/>
      <c r="BM65" s="262" t="s">
        <v>219</v>
      </c>
      <c r="BN65" s="90"/>
      <c r="BO65" s="90"/>
      <c r="BP65" s="90"/>
      <c r="BQ65" s="90"/>
      <c r="BR65" s="90"/>
      <c r="BS65" s="90"/>
      <c r="BT65" s="91"/>
      <c r="BU65" s="262" t="s">
        <v>220</v>
      </c>
      <c r="BV65" s="90"/>
      <c r="BW65" s="90"/>
      <c r="BX65" s="90"/>
      <c r="BY65" s="90"/>
      <c r="BZ65" s="90"/>
      <c r="CA65" s="90"/>
      <c r="CB65" s="91"/>
      <c r="CC65" s="262" t="s">
        <v>221</v>
      </c>
      <c r="CD65" s="90"/>
      <c r="CE65" s="90"/>
      <c r="CF65" s="90"/>
      <c r="CG65" s="90"/>
      <c r="CH65" s="90"/>
      <c r="CI65" s="90"/>
      <c r="CJ65" s="91"/>
      <c r="CK65" s="284"/>
      <c r="CL65" s="90"/>
      <c r="CM65" s="90"/>
      <c r="CN65" s="90"/>
      <c r="CO65" s="90"/>
      <c r="CP65" s="90"/>
      <c r="CQ65" s="90"/>
      <c r="CR65" s="91"/>
      <c r="CS65" s="271" t="s">
        <v>206</v>
      </c>
      <c r="CT65" s="272"/>
      <c r="CU65" s="298">
        <v>1605.3</v>
      </c>
      <c r="CV65" s="298"/>
      <c r="CW65" s="298"/>
      <c r="CX65" s="298"/>
      <c r="CY65" s="298"/>
      <c r="CZ65" s="299"/>
      <c r="DA65" s="274" t="s">
        <v>206</v>
      </c>
      <c r="DB65" s="275"/>
      <c r="DC65" s="275">
        <f t="shared" si="2"/>
        <v>3210.6</v>
      </c>
      <c r="DD65" s="275"/>
      <c r="DE65" s="275"/>
      <c r="DF65" s="275"/>
      <c r="DG65" s="275"/>
      <c r="DH65" s="275"/>
      <c r="DI65" s="276"/>
      <c r="DJ65" s="262" t="s">
        <v>305</v>
      </c>
      <c r="DK65" s="90"/>
      <c r="DL65" s="90"/>
      <c r="DM65" s="90"/>
      <c r="DN65" s="90"/>
      <c r="DO65" s="90"/>
      <c r="DP65" s="90"/>
      <c r="DQ65" s="90"/>
      <c r="DR65" s="90"/>
      <c r="DS65" s="90"/>
      <c r="DT65" s="263"/>
    </row>
    <row r="66" spans="1:124">
      <c r="A66" s="304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85" t="s">
        <v>325</v>
      </c>
      <c r="O66" s="286"/>
      <c r="P66" s="286"/>
      <c r="Q66" s="286"/>
      <c r="R66" s="286"/>
      <c r="S66" s="286"/>
      <c r="T66" s="286"/>
      <c r="U66" s="286"/>
      <c r="V66" s="261">
        <v>1988</v>
      </c>
      <c r="W66" s="102"/>
      <c r="X66" s="102"/>
      <c r="Y66" s="102"/>
      <c r="Z66" s="102"/>
      <c r="AA66" s="103"/>
      <c r="AB66" s="312" t="s">
        <v>217</v>
      </c>
      <c r="AC66" s="313"/>
      <c r="AD66" s="313"/>
      <c r="AE66" s="313"/>
      <c r="AF66" s="313"/>
      <c r="AG66" s="357" t="s">
        <v>390</v>
      </c>
      <c r="AH66" s="358"/>
      <c r="AI66" s="358"/>
      <c r="AJ66" s="358"/>
      <c r="AK66" s="358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9"/>
      <c r="AW66" s="286"/>
      <c r="AX66" s="286"/>
      <c r="AY66" s="286"/>
      <c r="AZ66" s="286"/>
      <c r="BA66" s="286"/>
      <c r="BB66" s="286"/>
      <c r="BC66" s="286"/>
      <c r="BD66" s="286"/>
      <c r="BE66" s="286"/>
      <c r="BF66" s="286"/>
      <c r="BG66" s="286"/>
      <c r="BH66" s="286"/>
      <c r="BI66" s="286"/>
      <c r="BJ66" s="286"/>
      <c r="BK66" s="286"/>
      <c r="BL66" s="286"/>
      <c r="BM66" s="262" t="s">
        <v>286</v>
      </c>
      <c r="BN66" s="90"/>
      <c r="BO66" s="90"/>
      <c r="BP66" s="90"/>
      <c r="BQ66" s="90"/>
      <c r="BR66" s="90"/>
      <c r="BS66" s="90"/>
      <c r="BT66" s="91"/>
      <c r="BU66" s="262" t="s">
        <v>373</v>
      </c>
      <c r="BV66" s="90"/>
      <c r="BW66" s="90"/>
      <c r="BX66" s="90"/>
      <c r="BY66" s="90"/>
      <c r="BZ66" s="90"/>
      <c r="CA66" s="90"/>
      <c r="CB66" s="91"/>
      <c r="CC66" s="286"/>
      <c r="CD66" s="286"/>
      <c r="CE66" s="286"/>
      <c r="CF66" s="286"/>
      <c r="CG66" s="286"/>
      <c r="CH66" s="286"/>
      <c r="CI66" s="286"/>
      <c r="CJ66" s="286"/>
      <c r="CK66" s="286"/>
      <c r="CL66" s="286"/>
      <c r="CM66" s="286"/>
      <c r="CN66" s="286"/>
      <c r="CO66" s="286"/>
      <c r="CP66" s="286"/>
      <c r="CQ66" s="286"/>
      <c r="CR66" s="286"/>
      <c r="CS66" s="271" t="s">
        <v>206</v>
      </c>
      <c r="CT66" s="272"/>
      <c r="CU66" s="298">
        <v>450</v>
      </c>
      <c r="CV66" s="298"/>
      <c r="CW66" s="298"/>
      <c r="CX66" s="298"/>
      <c r="CY66" s="298"/>
      <c r="CZ66" s="299"/>
      <c r="DA66" s="274" t="s">
        <v>206</v>
      </c>
      <c r="DB66" s="275"/>
      <c r="DC66" s="275">
        <f t="shared" si="2"/>
        <v>900</v>
      </c>
      <c r="DD66" s="275"/>
      <c r="DE66" s="275"/>
      <c r="DF66" s="275"/>
      <c r="DG66" s="275"/>
      <c r="DH66" s="275"/>
      <c r="DI66" s="276"/>
      <c r="DJ66" s="262" t="s">
        <v>305</v>
      </c>
      <c r="DK66" s="90"/>
      <c r="DL66" s="90"/>
      <c r="DM66" s="90"/>
      <c r="DN66" s="90"/>
      <c r="DO66" s="90"/>
      <c r="DP66" s="90"/>
      <c r="DQ66" s="90"/>
      <c r="DR66" s="90"/>
      <c r="DS66" s="90"/>
      <c r="DT66" s="263"/>
    </row>
    <row r="67" spans="1:124">
      <c r="A67" s="288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90"/>
      <c r="N67" s="260" t="s">
        <v>326</v>
      </c>
      <c r="O67" s="102"/>
      <c r="P67" s="102"/>
      <c r="Q67" s="102"/>
      <c r="R67" s="102"/>
      <c r="S67" s="102"/>
      <c r="T67" s="102"/>
      <c r="U67" s="103"/>
      <c r="V67" s="261">
        <v>1988</v>
      </c>
      <c r="W67" s="102"/>
      <c r="X67" s="102"/>
      <c r="Y67" s="102"/>
      <c r="Z67" s="102"/>
      <c r="AA67" s="103"/>
      <c r="AB67" s="291" t="s">
        <v>252</v>
      </c>
      <c r="AC67" s="295"/>
      <c r="AD67" s="295"/>
      <c r="AE67" s="295"/>
      <c r="AF67" s="296"/>
      <c r="AG67" s="262" t="s">
        <v>350</v>
      </c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1"/>
      <c r="AW67" s="284"/>
      <c r="AX67" s="90"/>
      <c r="AY67" s="90"/>
      <c r="AZ67" s="90"/>
      <c r="BA67" s="90"/>
      <c r="BB67" s="90"/>
      <c r="BC67" s="90"/>
      <c r="BD67" s="91"/>
      <c r="BE67" s="284"/>
      <c r="BF67" s="90"/>
      <c r="BG67" s="90"/>
      <c r="BH67" s="90"/>
      <c r="BI67" s="90"/>
      <c r="BJ67" s="90"/>
      <c r="BK67" s="90"/>
      <c r="BL67" s="91"/>
      <c r="BM67" s="285" t="s">
        <v>219</v>
      </c>
      <c r="BN67" s="286"/>
      <c r="BO67" s="286"/>
      <c r="BP67" s="286"/>
      <c r="BQ67" s="286"/>
      <c r="BR67" s="286"/>
      <c r="BS67" s="286"/>
      <c r="BT67" s="286"/>
      <c r="BU67" s="262" t="s">
        <v>374</v>
      </c>
      <c r="BV67" s="90"/>
      <c r="BW67" s="90"/>
      <c r="BX67" s="90"/>
      <c r="BY67" s="90"/>
      <c r="BZ67" s="90"/>
      <c r="CA67" s="90"/>
      <c r="CB67" s="91"/>
      <c r="CC67" s="284"/>
      <c r="CD67" s="90"/>
      <c r="CE67" s="90"/>
      <c r="CF67" s="90"/>
      <c r="CG67" s="90"/>
      <c r="CH67" s="90"/>
      <c r="CI67" s="90"/>
      <c r="CJ67" s="91"/>
      <c r="CK67" s="284"/>
      <c r="CL67" s="90"/>
      <c r="CM67" s="90"/>
      <c r="CN67" s="90"/>
      <c r="CO67" s="90"/>
      <c r="CP67" s="90"/>
      <c r="CQ67" s="90"/>
      <c r="CR67" s="91"/>
      <c r="CS67" s="271" t="s">
        <v>206</v>
      </c>
      <c r="CT67" s="272"/>
      <c r="CU67" s="298">
        <v>150</v>
      </c>
      <c r="CV67" s="298"/>
      <c r="CW67" s="298"/>
      <c r="CX67" s="298"/>
      <c r="CY67" s="298"/>
      <c r="CZ67" s="299"/>
      <c r="DA67" s="274" t="s">
        <v>206</v>
      </c>
      <c r="DB67" s="275"/>
      <c r="DC67" s="275">
        <f t="shared" si="2"/>
        <v>150</v>
      </c>
      <c r="DD67" s="275"/>
      <c r="DE67" s="275"/>
      <c r="DF67" s="275"/>
      <c r="DG67" s="275"/>
      <c r="DH67" s="275"/>
      <c r="DI67" s="276"/>
      <c r="DJ67" s="262" t="s">
        <v>305</v>
      </c>
      <c r="DK67" s="90"/>
      <c r="DL67" s="90"/>
      <c r="DM67" s="90"/>
      <c r="DN67" s="90"/>
      <c r="DO67" s="90"/>
      <c r="DP67" s="90"/>
      <c r="DQ67" s="90"/>
      <c r="DR67" s="90"/>
      <c r="DS67" s="90"/>
      <c r="DT67" s="263"/>
    </row>
    <row r="68" spans="1:124">
      <c r="A68" s="288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90"/>
      <c r="N68" s="262" t="s">
        <v>327</v>
      </c>
      <c r="O68" s="90"/>
      <c r="P68" s="90"/>
      <c r="Q68" s="90"/>
      <c r="R68" s="90"/>
      <c r="S68" s="90"/>
      <c r="T68" s="90"/>
      <c r="U68" s="91"/>
      <c r="V68" s="297">
        <v>39574</v>
      </c>
      <c r="W68" s="102"/>
      <c r="X68" s="102"/>
      <c r="Y68" s="102"/>
      <c r="Z68" s="102"/>
      <c r="AA68" s="103"/>
      <c r="AB68" s="291" t="s">
        <v>252</v>
      </c>
      <c r="AC68" s="295"/>
      <c r="AD68" s="295"/>
      <c r="AE68" s="295"/>
      <c r="AF68" s="296"/>
      <c r="AG68" s="262" t="s">
        <v>351</v>
      </c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1"/>
      <c r="AW68" s="262" t="s">
        <v>360</v>
      </c>
      <c r="AX68" s="90"/>
      <c r="AY68" s="90"/>
      <c r="AZ68" s="90"/>
      <c r="BA68" s="90"/>
      <c r="BB68" s="90"/>
      <c r="BC68" s="90"/>
      <c r="BD68" s="91"/>
      <c r="BE68" s="262" t="s">
        <v>364</v>
      </c>
      <c r="BF68" s="90"/>
      <c r="BG68" s="90"/>
      <c r="BH68" s="90"/>
      <c r="BI68" s="90"/>
      <c r="BJ68" s="90"/>
      <c r="BK68" s="90"/>
      <c r="BL68" s="91"/>
      <c r="BM68" s="262" t="s">
        <v>286</v>
      </c>
      <c r="BN68" s="90"/>
      <c r="BO68" s="90"/>
      <c r="BP68" s="90"/>
      <c r="BQ68" s="90"/>
      <c r="BR68" s="90"/>
      <c r="BS68" s="90"/>
      <c r="BT68" s="91"/>
      <c r="BU68" s="262" t="s">
        <v>373</v>
      </c>
      <c r="BV68" s="90"/>
      <c r="BW68" s="90"/>
      <c r="BX68" s="90"/>
      <c r="BY68" s="90"/>
      <c r="BZ68" s="90"/>
      <c r="CA68" s="90"/>
      <c r="CB68" s="91"/>
      <c r="CC68" s="262" t="s">
        <v>382</v>
      </c>
      <c r="CD68" s="90"/>
      <c r="CE68" s="90"/>
      <c r="CF68" s="90"/>
      <c r="CG68" s="90"/>
      <c r="CH68" s="90"/>
      <c r="CI68" s="90"/>
      <c r="CJ68" s="91"/>
      <c r="CK68" s="262" t="s">
        <v>387</v>
      </c>
      <c r="CL68" s="90"/>
      <c r="CM68" s="90"/>
      <c r="CN68" s="90"/>
      <c r="CO68" s="90"/>
      <c r="CP68" s="90"/>
      <c r="CQ68" s="90"/>
      <c r="CR68" s="91"/>
      <c r="CS68" s="271" t="s">
        <v>206</v>
      </c>
      <c r="CT68" s="272"/>
      <c r="CU68" s="298">
        <v>600</v>
      </c>
      <c r="CV68" s="298"/>
      <c r="CW68" s="298"/>
      <c r="CX68" s="298"/>
      <c r="CY68" s="298"/>
      <c r="CZ68" s="299"/>
      <c r="DA68" s="274" t="s">
        <v>206</v>
      </c>
      <c r="DB68" s="275"/>
      <c r="DC68" s="275">
        <f t="shared" si="2"/>
        <v>600</v>
      </c>
      <c r="DD68" s="275"/>
      <c r="DE68" s="275"/>
      <c r="DF68" s="275"/>
      <c r="DG68" s="275"/>
      <c r="DH68" s="275"/>
      <c r="DI68" s="276"/>
      <c r="DJ68" s="350" t="s">
        <v>393</v>
      </c>
      <c r="DK68" s="351"/>
      <c r="DL68" s="351"/>
      <c r="DM68" s="351"/>
      <c r="DN68" s="351"/>
      <c r="DO68" s="351"/>
      <c r="DP68" s="351"/>
      <c r="DQ68" s="351"/>
      <c r="DR68" s="351"/>
      <c r="DS68" s="351"/>
      <c r="DT68" s="352"/>
    </row>
    <row r="69" spans="1:124">
      <c r="A69" s="288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90"/>
      <c r="N69" s="262" t="s">
        <v>328</v>
      </c>
      <c r="O69" s="90"/>
      <c r="P69" s="90"/>
      <c r="Q69" s="90"/>
      <c r="R69" s="90"/>
      <c r="S69" s="90"/>
      <c r="T69" s="90"/>
      <c r="U69" s="91"/>
      <c r="V69" s="297">
        <v>39453</v>
      </c>
      <c r="W69" s="102"/>
      <c r="X69" s="102"/>
      <c r="Y69" s="102"/>
      <c r="Z69" s="102"/>
      <c r="AA69" s="103"/>
      <c r="AB69" s="291" t="s">
        <v>252</v>
      </c>
      <c r="AC69" s="295"/>
      <c r="AD69" s="295"/>
      <c r="AE69" s="295"/>
      <c r="AF69" s="296"/>
      <c r="AG69" s="262" t="s">
        <v>351</v>
      </c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1"/>
      <c r="AW69" s="262" t="s">
        <v>360</v>
      </c>
      <c r="AX69" s="90"/>
      <c r="AY69" s="90"/>
      <c r="AZ69" s="90"/>
      <c r="BA69" s="90"/>
      <c r="BB69" s="90"/>
      <c r="BC69" s="90"/>
      <c r="BD69" s="91"/>
      <c r="BE69" s="262" t="s">
        <v>364</v>
      </c>
      <c r="BF69" s="90"/>
      <c r="BG69" s="90"/>
      <c r="BH69" s="90"/>
      <c r="BI69" s="90"/>
      <c r="BJ69" s="90"/>
      <c r="BK69" s="90"/>
      <c r="BL69" s="91"/>
      <c r="BM69" s="262" t="s">
        <v>286</v>
      </c>
      <c r="BN69" s="90"/>
      <c r="BO69" s="90"/>
      <c r="BP69" s="90"/>
      <c r="BQ69" s="90"/>
      <c r="BR69" s="90"/>
      <c r="BS69" s="90"/>
      <c r="BT69" s="91"/>
      <c r="BU69" s="262" t="s">
        <v>373</v>
      </c>
      <c r="BV69" s="90"/>
      <c r="BW69" s="90"/>
      <c r="BX69" s="90"/>
      <c r="BY69" s="90"/>
      <c r="BZ69" s="90"/>
      <c r="CA69" s="90"/>
      <c r="CB69" s="91"/>
      <c r="CC69" s="262" t="s">
        <v>382</v>
      </c>
      <c r="CD69" s="90"/>
      <c r="CE69" s="90"/>
      <c r="CF69" s="90"/>
      <c r="CG69" s="90"/>
      <c r="CH69" s="90"/>
      <c r="CI69" s="90"/>
      <c r="CJ69" s="91"/>
      <c r="CK69" s="262" t="s">
        <v>388</v>
      </c>
      <c r="CL69" s="90"/>
      <c r="CM69" s="90"/>
      <c r="CN69" s="90"/>
      <c r="CO69" s="90"/>
      <c r="CP69" s="90"/>
      <c r="CQ69" s="90"/>
      <c r="CR69" s="91"/>
      <c r="CS69" s="271" t="s">
        <v>206</v>
      </c>
      <c r="CT69" s="272"/>
      <c r="CU69" s="298">
        <v>600</v>
      </c>
      <c r="CV69" s="298"/>
      <c r="CW69" s="298"/>
      <c r="CX69" s="298"/>
      <c r="CY69" s="298"/>
      <c r="CZ69" s="299"/>
      <c r="DA69" s="274" t="s">
        <v>206</v>
      </c>
      <c r="DB69" s="275"/>
      <c r="DC69" s="275">
        <f t="shared" si="2"/>
        <v>600</v>
      </c>
      <c r="DD69" s="275"/>
      <c r="DE69" s="275"/>
      <c r="DF69" s="275"/>
      <c r="DG69" s="275"/>
      <c r="DH69" s="275"/>
      <c r="DI69" s="276"/>
      <c r="DJ69" s="350" t="s">
        <v>393</v>
      </c>
      <c r="DK69" s="351"/>
      <c r="DL69" s="351"/>
      <c r="DM69" s="351"/>
      <c r="DN69" s="351"/>
      <c r="DO69" s="351"/>
      <c r="DP69" s="351"/>
      <c r="DQ69" s="351"/>
      <c r="DR69" s="351"/>
      <c r="DS69" s="351"/>
      <c r="DT69" s="352"/>
    </row>
    <row r="70" spans="1:124">
      <c r="A70" s="304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85" t="s">
        <v>329</v>
      </c>
      <c r="O70" s="286"/>
      <c r="P70" s="286"/>
      <c r="Q70" s="286"/>
      <c r="R70" s="286"/>
      <c r="S70" s="286"/>
      <c r="T70" s="286"/>
      <c r="U70" s="286"/>
      <c r="V70" s="297">
        <v>39453</v>
      </c>
      <c r="W70" s="102"/>
      <c r="X70" s="102"/>
      <c r="Y70" s="102"/>
      <c r="Z70" s="102"/>
      <c r="AA70" s="103"/>
      <c r="AB70" s="312" t="s">
        <v>252</v>
      </c>
      <c r="AC70" s="313"/>
      <c r="AD70" s="313"/>
      <c r="AE70" s="313"/>
      <c r="AF70" s="313"/>
      <c r="AG70" s="285" t="s">
        <v>351</v>
      </c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6"/>
      <c r="AU70" s="286"/>
      <c r="AV70" s="286"/>
      <c r="AW70" s="285" t="s">
        <v>360</v>
      </c>
      <c r="AX70" s="286"/>
      <c r="AY70" s="286"/>
      <c r="AZ70" s="286"/>
      <c r="BA70" s="286"/>
      <c r="BB70" s="286"/>
      <c r="BC70" s="286"/>
      <c r="BD70" s="286"/>
      <c r="BE70" s="285" t="s">
        <v>364</v>
      </c>
      <c r="BF70" s="286"/>
      <c r="BG70" s="286"/>
      <c r="BH70" s="286"/>
      <c r="BI70" s="286"/>
      <c r="BJ70" s="286"/>
      <c r="BK70" s="286"/>
      <c r="BL70" s="286"/>
      <c r="BM70" s="262" t="s">
        <v>286</v>
      </c>
      <c r="BN70" s="90"/>
      <c r="BO70" s="90"/>
      <c r="BP70" s="90"/>
      <c r="BQ70" s="90"/>
      <c r="BR70" s="90"/>
      <c r="BS70" s="90"/>
      <c r="BT70" s="91"/>
      <c r="BU70" s="262" t="s">
        <v>373</v>
      </c>
      <c r="BV70" s="90"/>
      <c r="BW70" s="90"/>
      <c r="BX70" s="90"/>
      <c r="BY70" s="90"/>
      <c r="BZ70" s="90"/>
      <c r="CA70" s="90"/>
      <c r="CB70" s="91"/>
      <c r="CC70" s="285" t="s">
        <v>382</v>
      </c>
      <c r="CD70" s="286"/>
      <c r="CE70" s="286"/>
      <c r="CF70" s="286"/>
      <c r="CG70" s="286"/>
      <c r="CH70" s="286"/>
      <c r="CI70" s="286"/>
      <c r="CJ70" s="286"/>
      <c r="CK70" s="262" t="s">
        <v>389</v>
      </c>
      <c r="CL70" s="90"/>
      <c r="CM70" s="90"/>
      <c r="CN70" s="90"/>
      <c r="CO70" s="90"/>
      <c r="CP70" s="90"/>
      <c r="CQ70" s="90"/>
      <c r="CR70" s="91"/>
      <c r="CS70" s="271" t="s">
        <v>206</v>
      </c>
      <c r="CT70" s="272"/>
      <c r="CU70" s="298">
        <v>600</v>
      </c>
      <c r="CV70" s="298"/>
      <c r="CW70" s="298"/>
      <c r="CX70" s="298"/>
      <c r="CY70" s="298"/>
      <c r="CZ70" s="299"/>
      <c r="DA70" s="274" t="s">
        <v>206</v>
      </c>
      <c r="DB70" s="275"/>
      <c r="DC70" s="275">
        <f t="shared" si="2"/>
        <v>600</v>
      </c>
      <c r="DD70" s="275"/>
      <c r="DE70" s="275"/>
      <c r="DF70" s="275"/>
      <c r="DG70" s="275"/>
      <c r="DH70" s="275"/>
      <c r="DI70" s="276"/>
      <c r="DJ70" s="344" t="s">
        <v>393</v>
      </c>
      <c r="DK70" s="344"/>
      <c r="DL70" s="344"/>
      <c r="DM70" s="344"/>
      <c r="DN70" s="344"/>
      <c r="DO70" s="344"/>
      <c r="DP70" s="344"/>
      <c r="DQ70" s="344"/>
      <c r="DR70" s="344"/>
      <c r="DS70" s="344"/>
      <c r="DT70" s="345"/>
    </row>
    <row r="71" spans="1:124">
      <c r="A71" s="304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85" t="s">
        <v>330</v>
      </c>
      <c r="O71" s="286"/>
      <c r="P71" s="286"/>
      <c r="Q71" s="286"/>
      <c r="R71" s="286"/>
      <c r="S71" s="286"/>
      <c r="T71" s="286"/>
      <c r="U71" s="286"/>
      <c r="V71" s="297">
        <v>40069</v>
      </c>
      <c r="W71" s="102"/>
      <c r="X71" s="102"/>
      <c r="Y71" s="102"/>
      <c r="Z71" s="102"/>
      <c r="AA71" s="103"/>
      <c r="AB71" s="312" t="s">
        <v>337</v>
      </c>
      <c r="AC71" s="313"/>
      <c r="AD71" s="313"/>
      <c r="AE71" s="313"/>
      <c r="AF71" s="313"/>
      <c r="AG71" s="285" t="s">
        <v>347</v>
      </c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  <c r="BC71" s="286"/>
      <c r="BD71" s="286"/>
      <c r="BE71" s="286"/>
      <c r="BF71" s="286"/>
      <c r="BG71" s="286"/>
      <c r="BH71" s="286"/>
      <c r="BI71" s="286"/>
      <c r="BJ71" s="286"/>
      <c r="BK71" s="286"/>
      <c r="BL71" s="286"/>
      <c r="BM71" s="285" t="s">
        <v>290</v>
      </c>
      <c r="BN71" s="286"/>
      <c r="BO71" s="286"/>
      <c r="BP71" s="286"/>
      <c r="BQ71" s="286"/>
      <c r="BR71" s="286"/>
      <c r="BS71" s="286"/>
      <c r="BT71" s="286"/>
      <c r="BU71" s="262" t="s">
        <v>373</v>
      </c>
      <c r="BV71" s="90"/>
      <c r="BW71" s="90"/>
      <c r="BX71" s="90"/>
      <c r="BY71" s="90"/>
      <c r="BZ71" s="90"/>
      <c r="CA71" s="90"/>
      <c r="CB71" s="91"/>
      <c r="CC71" s="286"/>
      <c r="CD71" s="286"/>
      <c r="CE71" s="286"/>
      <c r="CF71" s="286"/>
      <c r="CG71" s="286"/>
      <c r="CH71" s="286"/>
      <c r="CI71" s="286"/>
      <c r="CJ71" s="286"/>
      <c r="CK71" s="286"/>
      <c r="CL71" s="286"/>
      <c r="CM71" s="286"/>
      <c r="CN71" s="286"/>
      <c r="CO71" s="286"/>
      <c r="CP71" s="286"/>
      <c r="CQ71" s="286"/>
      <c r="CR71" s="286"/>
      <c r="CS71" s="271" t="s">
        <v>206</v>
      </c>
      <c r="CT71" s="272"/>
      <c r="CU71" s="298">
        <v>100</v>
      </c>
      <c r="CV71" s="298"/>
      <c r="CW71" s="298"/>
      <c r="CX71" s="298"/>
      <c r="CY71" s="298"/>
      <c r="CZ71" s="299"/>
      <c r="DA71" s="274" t="s">
        <v>206</v>
      </c>
      <c r="DB71" s="275"/>
      <c r="DC71" s="275">
        <f t="shared" si="2"/>
        <v>4000</v>
      </c>
      <c r="DD71" s="275"/>
      <c r="DE71" s="275"/>
      <c r="DF71" s="275"/>
      <c r="DG71" s="275"/>
      <c r="DH71" s="275"/>
      <c r="DI71" s="276"/>
      <c r="DJ71" s="285" t="s">
        <v>305</v>
      </c>
      <c r="DK71" s="286"/>
      <c r="DL71" s="286"/>
      <c r="DM71" s="286"/>
      <c r="DN71" s="286"/>
      <c r="DO71" s="286"/>
      <c r="DP71" s="286"/>
      <c r="DQ71" s="286"/>
      <c r="DR71" s="286"/>
      <c r="DS71" s="286"/>
      <c r="DT71" s="287"/>
    </row>
    <row r="72" spans="1:124">
      <c r="A72" s="304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85" t="s">
        <v>331</v>
      </c>
      <c r="O72" s="286"/>
      <c r="P72" s="286"/>
      <c r="Q72" s="286"/>
      <c r="R72" s="286"/>
      <c r="S72" s="286"/>
      <c r="T72" s="286"/>
      <c r="U72" s="286"/>
      <c r="V72" s="360">
        <v>40725</v>
      </c>
      <c r="W72" s="102"/>
      <c r="X72" s="102"/>
      <c r="Y72" s="102"/>
      <c r="Z72" s="102"/>
      <c r="AA72" s="103"/>
      <c r="AB72" s="312" t="s">
        <v>338</v>
      </c>
      <c r="AC72" s="313"/>
      <c r="AD72" s="313"/>
      <c r="AE72" s="313"/>
      <c r="AF72" s="313"/>
      <c r="AG72" s="285" t="s">
        <v>352</v>
      </c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  <c r="BA72" s="286"/>
      <c r="BB72" s="286"/>
      <c r="BC72" s="286"/>
      <c r="BD72" s="286"/>
      <c r="BE72" s="286"/>
      <c r="BF72" s="286"/>
      <c r="BG72" s="286"/>
      <c r="BH72" s="286"/>
      <c r="BI72" s="286"/>
      <c r="BJ72" s="286"/>
      <c r="BK72" s="286"/>
      <c r="BL72" s="286"/>
      <c r="BM72" s="286"/>
      <c r="BN72" s="286"/>
      <c r="BO72" s="286"/>
      <c r="BP72" s="286"/>
      <c r="BQ72" s="286"/>
      <c r="BR72" s="286"/>
      <c r="BS72" s="286"/>
      <c r="BT72" s="286"/>
      <c r="BU72" s="285" t="s">
        <v>295</v>
      </c>
      <c r="BV72" s="286"/>
      <c r="BW72" s="286"/>
      <c r="BX72" s="286"/>
      <c r="BY72" s="286"/>
      <c r="BZ72" s="286"/>
      <c r="CA72" s="286"/>
      <c r="CB72" s="286"/>
      <c r="CC72" s="286"/>
      <c r="CD72" s="286"/>
      <c r="CE72" s="286"/>
      <c r="CF72" s="286"/>
      <c r="CG72" s="286"/>
      <c r="CH72" s="286"/>
      <c r="CI72" s="286"/>
      <c r="CJ72" s="286"/>
      <c r="CK72" s="286"/>
      <c r="CL72" s="286"/>
      <c r="CM72" s="286"/>
      <c r="CN72" s="286"/>
      <c r="CO72" s="286"/>
      <c r="CP72" s="286"/>
      <c r="CQ72" s="286"/>
      <c r="CR72" s="286"/>
      <c r="CS72" s="271" t="s">
        <v>206</v>
      </c>
      <c r="CT72" s="272"/>
      <c r="CU72" s="298">
        <v>100</v>
      </c>
      <c r="CV72" s="298"/>
      <c r="CW72" s="298"/>
      <c r="CX72" s="298"/>
      <c r="CY72" s="298"/>
      <c r="CZ72" s="299"/>
      <c r="DA72" s="274" t="s">
        <v>206</v>
      </c>
      <c r="DB72" s="275"/>
      <c r="DC72" s="275">
        <f t="shared" si="2"/>
        <v>15000</v>
      </c>
      <c r="DD72" s="275"/>
      <c r="DE72" s="275"/>
      <c r="DF72" s="275"/>
      <c r="DG72" s="275"/>
      <c r="DH72" s="275"/>
      <c r="DI72" s="276"/>
      <c r="DJ72" s="285" t="s">
        <v>305</v>
      </c>
      <c r="DK72" s="286"/>
      <c r="DL72" s="286"/>
      <c r="DM72" s="286"/>
      <c r="DN72" s="286"/>
      <c r="DO72" s="286"/>
      <c r="DP72" s="286"/>
      <c r="DQ72" s="286"/>
      <c r="DR72" s="286"/>
      <c r="DS72" s="286"/>
      <c r="DT72" s="287"/>
    </row>
    <row r="73" spans="1:124">
      <c r="A73" s="304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85" t="s">
        <v>332</v>
      </c>
      <c r="O73" s="286"/>
      <c r="P73" s="286"/>
      <c r="Q73" s="286"/>
      <c r="R73" s="286"/>
      <c r="S73" s="286"/>
      <c r="T73" s="286"/>
      <c r="U73" s="286"/>
      <c r="V73" s="297">
        <v>41756</v>
      </c>
      <c r="W73" s="102"/>
      <c r="X73" s="102"/>
      <c r="Y73" s="102"/>
      <c r="Z73" s="102"/>
      <c r="AA73" s="103"/>
      <c r="AB73" s="312" t="s">
        <v>339</v>
      </c>
      <c r="AC73" s="313"/>
      <c r="AD73" s="313"/>
      <c r="AE73" s="313"/>
      <c r="AF73" s="313"/>
      <c r="AG73" s="285" t="s">
        <v>353</v>
      </c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6"/>
      <c r="AU73" s="286"/>
      <c r="AV73" s="286"/>
      <c r="AW73" s="285" t="s">
        <v>361</v>
      </c>
      <c r="AX73" s="286"/>
      <c r="AY73" s="286"/>
      <c r="AZ73" s="286"/>
      <c r="BA73" s="286"/>
      <c r="BB73" s="286"/>
      <c r="BC73" s="286"/>
      <c r="BD73" s="286"/>
      <c r="BE73" s="286"/>
      <c r="BF73" s="286"/>
      <c r="BG73" s="286"/>
      <c r="BH73" s="286"/>
      <c r="BI73" s="286"/>
      <c r="BJ73" s="286"/>
      <c r="BK73" s="286"/>
      <c r="BL73" s="286"/>
      <c r="BM73" s="285"/>
      <c r="BN73" s="286"/>
      <c r="BO73" s="286"/>
      <c r="BP73" s="286"/>
      <c r="BQ73" s="286"/>
      <c r="BR73" s="286"/>
      <c r="BS73" s="286"/>
      <c r="BT73" s="286"/>
      <c r="BU73" s="285" t="s">
        <v>373</v>
      </c>
      <c r="BV73" s="286"/>
      <c r="BW73" s="286"/>
      <c r="BX73" s="286"/>
      <c r="BY73" s="286"/>
      <c r="BZ73" s="286"/>
      <c r="CA73" s="286"/>
      <c r="CB73" s="286"/>
      <c r="CC73" s="286"/>
      <c r="CD73" s="286"/>
      <c r="CE73" s="286"/>
      <c r="CF73" s="286"/>
      <c r="CG73" s="286"/>
      <c r="CH73" s="286"/>
      <c r="CI73" s="286"/>
      <c r="CJ73" s="286"/>
      <c r="CK73" s="286"/>
      <c r="CL73" s="286"/>
      <c r="CM73" s="286"/>
      <c r="CN73" s="286"/>
      <c r="CO73" s="286"/>
      <c r="CP73" s="286"/>
      <c r="CQ73" s="286"/>
      <c r="CR73" s="286"/>
      <c r="CS73" s="271" t="s">
        <v>206</v>
      </c>
      <c r="CT73" s="272"/>
      <c r="CU73" s="298">
        <v>165</v>
      </c>
      <c r="CV73" s="298"/>
      <c r="CW73" s="298"/>
      <c r="CX73" s="298"/>
      <c r="CY73" s="298"/>
      <c r="CZ73" s="299"/>
      <c r="DA73" s="274" t="s">
        <v>206</v>
      </c>
      <c r="DB73" s="275"/>
      <c r="DC73" s="275">
        <f t="shared" si="2"/>
        <v>10230</v>
      </c>
      <c r="DD73" s="275"/>
      <c r="DE73" s="275"/>
      <c r="DF73" s="275"/>
      <c r="DG73" s="275"/>
      <c r="DH73" s="275"/>
      <c r="DI73" s="276"/>
      <c r="DJ73" s="285" t="s">
        <v>305</v>
      </c>
      <c r="DK73" s="286"/>
      <c r="DL73" s="286"/>
      <c r="DM73" s="286"/>
      <c r="DN73" s="286"/>
      <c r="DO73" s="286"/>
      <c r="DP73" s="286"/>
      <c r="DQ73" s="286"/>
      <c r="DR73" s="286"/>
      <c r="DS73" s="286"/>
      <c r="DT73" s="287"/>
    </row>
    <row r="74" spans="1:124">
      <c r="A74" s="304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85" t="s">
        <v>333</v>
      </c>
      <c r="O74" s="286"/>
      <c r="P74" s="286"/>
      <c r="Q74" s="286"/>
      <c r="R74" s="286"/>
      <c r="S74" s="286"/>
      <c r="T74" s="286"/>
      <c r="U74" s="286"/>
      <c r="V74" s="297">
        <v>40896</v>
      </c>
      <c r="W74" s="102"/>
      <c r="X74" s="102"/>
      <c r="Y74" s="102"/>
      <c r="Z74" s="102"/>
      <c r="AA74" s="103"/>
      <c r="AB74" s="312" t="s">
        <v>254</v>
      </c>
      <c r="AC74" s="313"/>
      <c r="AD74" s="313"/>
      <c r="AE74" s="313"/>
      <c r="AF74" s="313"/>
      <c r="AG74" s="285" t="s">
        <v>354</v>
      </c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  <c r="AV74" s="286"/>
      <c r="AW74" s="285" t="s">
        <v>362</v>
      </c>
      <c r="AX74" s="286"/>
      <c r="AY74" s="286"/>
      <c r="AZ74" s="286"/>
      <c r="BA74" s="286"/>
      <c r="BB74" s="286"/>
      <c r="BC74" s="286"/>
      <c r="BD74" s="286"/>
      <c r="BE74" s="285" t="s">
        <v>365</v>
      </c>
      <c r="BF74" s="286"/>
      <c r="BG74" s="286"/>
      <c r="BH74" s="286"/>
      <c r="BI74" s="286"/>
      <c r="BJ74" s="286"/>
      <c r="BK74" s="286"/>
      <c r="BL74" s="286"/>
      <c r="BM74" s="285" t="s">
        <v>371</v>
      </c>
      <c r="BN74" s="286"/>
      <c r="BO74" s="286"/>
      <c r="BP74" s="286"/>
      <c r="BQ74" s="286"/>
      <c r="BR74" s="286"/>
      <c r="BS74" s="286"/>
      <c r="BT74" s="286"/>
      <c r="BU74" s="285" t="s">
        <v>375</v>
      </c>
      <c r="BV74" s="286"/>
      <c r="BW74" s="286"/>
      <c r="BX74" s="286"/>
      <c r="BY74" s="286"/>
      <c r="BZ74" s="286"/>
      <c r="CA74" s="286"/>
      <c r="CB74" s="286"/>
      <c r="CC74" s="286"/>
      <c r="CD74" s="286"/>
      <c r="CE74" s="286"/>
      <c r="CF74" s="286"/>
      <c r="CG74" s="286"/>
      <c r="CH74" s="286"/>
      <c r="CI74" s="286"/>
      <c r="CJ74" s="286"/>
      <c r="CK74" s="286"/>
      <c r="CL74" s="286"/>
      <c r="CM74" s="286"/>
      <c r="CN74" s="286"/>
      <c r="CO74" s="286"/>
      <c r="CP74" s="286"/>
      <c r="CQ74" s="286"/>
      <c r="CR74" s="286"/>
      <c r="CS74" s="271" t="s">
        <v>206</v>
      </c>
      <c r="CT74" s="272"/>
      <c r="CU74" s="298">
        <v>60000</v>
      </c>
      <c r="CV74" s="298"/>
      <c r="CW74" s="298"/>
      <c r="CX74" s="298"/>
      <c r="CY74" s="298"/>
      <c r="CZ74" s="299"/>
      <c r="DA74" s="274" t="s">
        <v>206</v>
      </c>
      <c r="DB74" s="275"/>
      <c r="DC74" s="275">
        <f t="shared" si="2"/>
        <v>180000</v>
      </c>
      <c r="DD74" s="275"/>
      <c r="DE74" s="275"/>
      <c r="DF74" s="275"/>
      <c r="DG74" s="275"/>
      <c r="DH74" s="275"/>
      <c r="DI74" s="276"/>
      <c r="DJ74" s="285" t="s">
        <v>305</v>
      </c>
      <c r="DK74" s="286"/>
      <c r="DL74" s="286"/>
      <c r="DM74" s="286"/>
      <c r="DN74" s="286"/>
      <c r="DO74" s="286"/>
      <c r="DP74" s="286"/>
      <c r="DQ74" s="286"/>
      <c r="DR74" s="286"/>
      <c r="DS74" s="286"/>
      <c r="DT74" s="287"/>
    </row>
    <row r="75" spans="1:124" ht="15" thickBo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21" t="s">
        <v>334</v>
      </c>
      <c r="O75" s="322"/>
      <c r="P75" s="322"/>
      <c r="Q75" s="322"/>
      <c r="R75" s="322"/>
      <c r="S75" s="322"/>
      <c r="T75" s="322"/>
      <c r="U75" s="322"/>
      <c r="V75" s="297">
        <v>40896</v>
      </c>
      <c r="W75" s="102"/>
      <c r="X75" s="102"/>
      <c r="Y75" s="102"/>
      <c r="Z75" s="102"/>
      <c r="AA75" s="103"/>
      <c r="AB75" s="312" t="s">
        <v>340</v>
      </c>
      <c r="AC75" s="313"/>
      <c r="AD75" s="313"/>
      <c r="AE75" s="313"/>
      <c r="AF75" s="313"/>
      <c r="AG75" s="321" t="s">
        <v>355</v>
      </c>
      <c r="AH75" s="322"/>
      <c r="AI75" s="322"/>
      <c r="AJ75" s="322"/>
      <c r="AK75" s="322"/>
      <c r="AL75" s="322"/>
      <c r="AM75" s="322"/>
      <c r="AN75" s="322"/>
      <c r="AO75" s="322"/>
      <c r="AP75" s="322"/>
      <c r="AQ75" s="322"/>
      <c r="AR75" s="322"/>
      <c r="AS75" s="322"/>
      <c r="AT75" s="322"/>
      <c r="AU75" s="322"/>
      <c r="AV75" s="322"/>
      <c r="AW75" s="322"/>
      <c r="AX75" s="322"/>
      <c r="AY75" s="322"/>
      <c r="AZ75" s="322"/>
      <c r="BA75" s="322"/>
      <c r="BB75" s="322"/>
      <c r="BC75" s="322"/>
      <c r="BD75" s="322"/>
      <c r="BE75" s="321" t="s">
        <v>366</v>
      </c>
      <c r="BF75" s="322"/>
      <c r="BG75" s="322"/>
      <c r="BH75" s="322"/>
      <c r="BI75" s="322"/>
      <c r="BJ75" s="322"/>
      <c r="BK75" s="322"/>
      <c r="BL75" s="322"/>
      <c r="BM75" s="322"/>
      <c r="BN75" s="322"/>
      <c r="BO75" s="322"/>
      <c r="BP75" s="322"/>
      <c r="BQ75" s="322"/>
      <c r="BR75" s="322"/>
      <c r="BS75" s="322"/>
      <c r="BT75" s="322"/>
      <c r="BU75" s="322"/>
      <c r="BV75" s="322"/>
      <c r="BW75" s="322"/>
      <c r="BX75" s="322"/>
      <c r="BY75" s="322"/>
      <c r="BZ75" s="322"/>
      <c r="CA75" s="322"/>
      <c r="CB75" s="322"/>
      <c r="CC75" s="322"/>
      <c r="CD75" s="322"/>
      <c r="CE75" s="322"/>
      <c r="CF75" s="322"/>
      <c r="CG75" s="322"/>
      <c r="CH75" s="322"/>
      <c r="CI75" s="322"/>
      <c r="CJ75" s="322"/>
      <c r="CK75" s="322"/>
      <c r="CL75" s="322"/>
      <c r="CM75" s="322"/>
      <c r="CN75" s="322"/>
      <c r="CO75" s="322"/>
      <c r="CP75" s="322"/>
      <c r="CQ75" s="322"/>
      <c r="CR75" s="322"/>
      <c r="CS75" s="271" t="s">
        <v>206</v>
      </c>
      <c r="CT75" s="272"/>
      <c r="CU75" s="298">
        <v>2520</v>
      </c>
      <c r="CV75" s="298"/>
      <c r="CW75" s="298"/>
      <c r="CX75" s="298"/>
      <c r="CY75" s="298"/>
      <c r="CZ75" s="299"/>
      <c r="DA75" s="274" t="s">
        <v>206</v>
      </c>
      <c r="DB75" s="275"/>
      <c r="DC75" s="275">
        <f t="shared" si="2"/>
        <v>25200</v>
      </c>
      <c r="DD75" s="275"/>
      <c r="DE75" s="275"/>
      <c r="DF75" s="275"/>
      <c r="DG75" s="275"/>
      <c r="DH75" s="275"/>
      <c r="DI75" s="276"/>
      <c r="DJ75" s="285" t="s">
        <v>305</v>
      </c>
      <c r="DK75" s="286"/>
      <c r="DL75" s="286"/>
      <c r="DM75" s="286"/>
      <c r="DN75" s="286"/>
      <c r="DO75" s="286"/>
      <c r="DP75" s="286"/>
      <c r="DQ75" s="286"/>
      <c r="DR75" s="286"/>
      <c r="DS75" s="286"/>
      <c r="DT75" s="287"/>
    </row>
    <row r="76" spans="1:124" ht="21.6" thickBot="1">
      <c r="A76" s="3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23" t="s">
        <v>82</v>
      </c>
      <c r="Q76" s="323"/>
      <c r="R76" s="323"/>
      <c r="S76" s="323"/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323"/>
      <c r="AK76" s="323"/>
      <c r="AL76" s="323"/>
      <c r="AM76" s="323"/>
      <c r="AN76" s="323"/>
      <c r="AO76" s="323"/>
      <c r="AP76" s="323"/>
      <c r="AQ76" s="323"/>
      <c r="AR76" s="323"/>
      <c r="AS76" s="323"/>
      <c r="AT76" s="323"/>
      <c r="AU76" s="323"/>
      <c r="AV76" s="323"/>
      <c r="AW76" s="323"/>
      <c r="AX76" s="323"/>
      <c r="AY76" s="323"/>
      <c r="AZ76" s="323"/>
      <c r="BA76" s="323"/>
      <c r="BB76" s="323"/>
      <c r="BC76" s="323"/>
      <c r="BD76" s="323"/>
      <c r="BE76" s="323"/>
      <c r="BF76" s="323"/>
      <c r="BG76" s="323"/>
      <c r="BH76" s="323"/>
      <c r="BI76" s="323"/>
      <c r="BJ76" s="323"/>
      <c r="BK76" s="323"/>
      <c r="BL76" s="323"/>
      <c r="BM76" s="323"/>
      <c r="BN76" s="323"/>
      <c r="BO76" s="323"/>
      <c r="BP76" s="323"/>
      <c r="BQ76" s="323"/>
      <c r="BR76" s="323"/>
      <c r="BS76" s="323"/>
      <c r="BT76" s="323"/>
      <c r="BU76" s="323"/>
      <c r="BV76" s="323"/>
      <c r="BW76" s="323"/>
      <c r="BX76" s="323"/>
      <c r="BY76" s="323"/>
      <c r="BZ76" s="323"/>
      <c r="CA76" s="323"/>
      <c r="CB76" s="323"/>
      <c r="CC76" s="323"/>
      <c r="CD76" s="323"/>
      <c r="CE76" s="323"/>
      <c r="CF76" s="323"/>
      <c r="CG76" s="323"/>
      <c r="CH76" s="323"/>
      <c r="CI76" s="323"/>
      <c r="CJ76" s="323"/>
      <c r="CK76" s="323"/>
      <c r="CL76" s="323"/>
      <c r="CM76" s="323"/>
      <c r="CN76" s="323"/>
      <c r="CO76" s="323"/>
      <c r="CP76" s="323"/>
      <c r="CQ76" s="323"/>
      <c r="CR76" s="323"/>
      <c r="CS76" s="323"/>
      <c r="CT76" s="323"/>
      <c r="CU76" s="323"/>
      <c r="CV76" s="323"/>
      <c r="CW76" s="323"/>
      <c r="CX76" s="323"/>
      <c r="CY76" s="323"/>
      <c r="CZ76" s="14"/>
      <c r="DA76" s="327" t="s">
        <v>206</v>
      </c>
      <c r="DB76" s="328"/>
      <c r="DC76" s="329">
        <f>SUM(DC50:DC75)</f>
        <v>388495</v>
      </c>
      <c r="DD76" s="329"/>
      <c r="DE76" s="329"/>
      <c r="DF76" s="329"/>
      <c r="DG76" s="329"/>
      <c r="DH76" s="329"/>
      <c r="DI76" s="329"/>
      <c r="DJ76" s="329"/>
      <c r="DK76" s="329"/>
      <c r="DL76" s="329"/>
      <c r="DM76" s="329"/>
      <c r="DN76" s="329"/>
      <c r="DO76" s="329"/>
      <c r="DP76" s="329"/>
      <c r="DQ76" s="329"/>
      <c r="DR76" s="329"/>
      <c r="DS76" s="329"/>
      <c r="DT76" s="330"/>
    </row>
    <row r="77" spans="1:124" ht="20.39999999999999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324" t="s">
        <v>83</v>
      </c>
      <c r="DK77" s="324"/>
      <c r="DL77" s="324"/>
      <c r="DM77" s="324"/>
      <c r="DN77" s="324"/>
      <c r="DO77" s="324"/>
      <c r="DP77" s="325" t="s">
        <v>369</v>
      </c>
      <c r="DQ77" s="326"/>
      <c r="DR77" s="326"/>
      <c r="DS77" s="326"/>
      <c r="DT77" s="1"/>
    </row>
    <row r="82" spans="1:124" ht="16.8">
      <c r="A82" s="232" t="s">
        <v>61</v>
      </c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</row>
    <row r="83" spans="1:124" ht="21">
      <c r="A83" s="233" t="s">
        <v>4</v>
      </c>
      <c r="B83" s="234"/>
      <c r="C83" s="234"/>
      <c r="D83" s="234"/>
      <c r="E83" s="234"/>
      <c r="F83" s="2"/>
      <c r="G83" s="235" t="s">
        <v>197</v>
      </c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  <c r="AE83" s="236"/>
      <c r="AF83" s="233" t="s">
        <v>5</v>
      </c>
      <c r="AG83" s="234"/>
      <c r="AH83" s="234"/>
      <c r="AI83" s="234"/>
      <c r="AJ83" s="234"/>
      <c r="AK83" s="234"/>
      <c r="AL83" s="2"/>
      <c r="AM83" s="235" t="s">
        <v>6</v>
      </c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5"/>
      <c r="BF83" s="235"/>
      <c r="BG83" s="236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233" t="s">
        <v>8</v>
      </c>
      <c r="BV83" s="234"/>
      <c r="BW83" s="234"/>
      <c r="BX83" s="234"/>
      <c r="BY83" s="234"/>
      <c r="BZ83" s="2"/>
      <c r="CA83" s="237">
        <v>1009</v>
      </c>
      <c r="CB83" s="235"/>
      <c r="CC83" s="235"/>
      <c r="CD83" s="235"/>
      <c r="CE83" s="235"/>
      <c r="CF83" s="235"/>
      <c r="CG83" s="235"/>
      <c r="CH83" s="235"/>
      <c r="CI83" s="236"/>
      <c r="CJ83" s="233" t="s">
        <v>9</v>
      </c>
      <c r="CK83" s="234"/>
      <c r="CL83" s="234"/>
      <c r="CM83" s="234"/>
      <c r="CN83" s="234"/>
      <c r="CO83" s="2"/>
      <c r="CP83" s="237" t="s">
        <v>214</v>
      </c>
      <c r="CQ83" s="235"/>
      <c r="CR83" s="235"/>
      <c r="CS83" s="235"/>
      <c r="CT83" s="235"/>
      <c r="CU83" s="235"/>
      <c r="CV83" s="235"/>
      <c r="CW83" s="235"/>
      <c r="CX83" s="236"/>
      <c r="CY83" s="1"/>
      <c r="CZ83" s="1"/>
      <c r="DA83" s="1"/>
      <c r="DB83" s="1"/>
      <c r="DC83" s="1"/>
      <c r="DD83" s="1"/>
      <c r="DE83" s="1"/>
      <c r="DF83" s="1"/>
      <c r="DG83" s="233" t="s">
        <v>62</v>
      </c>
      <c r="DH83" s="234"/>
      <c r="DI83" s="234"/>
      <c r="DJ83" s="234"/>
      <c r="DK83" s="234"/>
      <c r="DL83" s="2"/>
      <c r="DM83" s="235">
        <v>2024</v>
      </c>
      <c r="DN83" s="235"/>
      <c r="DO83" s="235"/>
      <c r="DP83" s="235"/>
      <c r="DQ83" s="235"/>
      <c r="DR83" s="235"/>
      <c r="DS83" s="235"/>
      <c r="DT83" s="236"/>
    </row>
    <row r="84" spans="1:124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</row>
    <row r="85" spans="1:124" ht="20.399999999999999">
      <c r="A85" s="238" t="s">
        <v>63</v>
      </c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39"/>
      <c r="BD85" s="239"/>
      <c r="BE85" s="239"/>
      <c r="BF85" s="239"/>
      <c r="BG85" s="239"/>
      <c r="BH85" s="239"/>
      <c r="BI85" s="239"/>
      <c r="BJ85" s="239"/>
      <c r="BK85" s="239"/>
      <c r="BL85" s="239"/>
      <c r="BM85" s="239"/>
      <c r="BN85" s="239"/>
      <c r="BO85" s="239"/>
      <c r="BP85" s="239"/>
      <c r="BQ85" s="239"/>
      <c r="BR85" s="239"/>
      <c r="BS85" s="239"/>
      <c r="BT85" s="239"/>
      <c r="BU85" s="239"/>
      <c r="BV85" s="239"/>
      <c r="BW85" s="239"/>
      <c r="BX85" s="239"/>
      <c r="BY85" s="239"/>
      <c r="BZ85" s="239"/>
      <c r="CA85" s="239"/>
      <c r="CB85" s="239"/>
      <c r="CC85" s="239"/>
      <c r="CD85" s="239"/>
      <c r="CE85" s="239"/>
      <c r="CF85" s="239"/>
      <c r="CG85" s="239"/>
      <c r="CH85" s="239"/>
      <c r="CI85" s="239"/>
      <c r="CJ85" s="239"/>
      <c r="CK85" s="239"/>
      <c r="CL85" s="239"/>
      <c r="CM85" s="239"/>
      <c r="CN85" s="239"/>
      <c r="CO85" s="239"/>
      <c r="CP85" s="239"/>
      <c r="CQ85" s="239"/>
      <c r="CR85" s="239"/>
      <c r="CS85" s="239"/>
      <c r="CT85" s="239"/>
      <c r="CU85" s="239"/>
      <c r="CV85" s="239"/>
      <c r="CW85" s="239"/>
      <c r="CX85" s="239"/>
      <c r="CY85" s="239"/>
      <c r="CZ85" s="239"/>
      <c r="DA85" s="239"/>
      <c r="DB85" s="239"/>
      <c r="DC85" s="239"/>
      <c r="DD85" s="239"/>
      <c r="DE85" s="239"/>
      <c r="DF85" s="239"/>
      <c r="DG85" s="239"/>
      <c r="DH85" s="239"/>
      <c r="DI85" s="239"/>
      <c r="DJ85" s="239"/>
      <c r="DK85" s="239"/>
      <c r="DL85" s="239"/>
      <c r="DM85" s="239"/>
      <c r="DN85" s="239"/>
      <c r="DO85" s="239"/>
      <c r="DP85" s="239"/>
      <c r="DQ85" s="239"/>
      <c r="DR85" s="239"/>
      <c r="DS85" s="239"/>
      <c r="DT85" s="240"/>
    </row>
    <row r="86" spans="1:124" ht="15" thickBot="1">
      <c r="A86" s="241" t="s">
        <v>64</v>
      </c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  <c r="AW86" s="242"/>
      <c r="AX86" s="242"/>
      <c r="AY86" s="242"/>
      <c r="AZ86" s="242"/>
      <c r="BA86" s="242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6"/>
    </row>
    <row r="87" spans="1:124" ht="15" thickBot="1"/>
    <row r="88" spans="1:124" ht="17.399999999999999">
      <c r="A88" s="243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5"/>
      <c r="N88" s="246"/>
      <c r="O88" s="244"/>
      <c r="P88" s="244"/>
      <c r="Q88" s="244"/>
      <c r="R88" s="244"/>
      <c r="S88" s="244"/>
      <c r="T88" s="244"/>
      <c r="U88" s="245"/>
      <c r="V88" s="247" t="s">
        <v>65</v>
      </c>
      <c r="W88" s="248"/>
      <c r="X88" s="248"/>
      <c r="Y88" s="248"/>
      <c r="Z88" s="248"/>
      <c r="AA88" s="249"/>
      <c r="AB88" s="246"/>
      <c r="AC88" s="244"/>
      <c r="AD88" s="244"/>
      <c r="AE88" s="244"/>
      <c r="AF88" s="245"/>
      <c r="AG88" s="246"/>
      <c r="AH88" s="244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  <c r="AU88" s="244"/>
      <c r="AV88" s="245"/>
      <c r="AW88" s="250" t="s">
        <v>66</v>
      </c>
      <c r="AX88" s="251"/>
      <c r="AY88" s="251"/>
      <c r="AZ88" s="251"/>
      <c r="BA88" s="251"/>
      <c r="BB88" s="251"/>
      <c r="BC88" s="251"/>
      <c r="BD88" s="251"/>
      <c r="BE88" s="251"/>
      <c r="BF88" s="251"/>
      <c r="BG88" s="251"/>
      <c r="BH88" s="251"/>
      <c r="BI88" s="251"/>
      <c r="BJ88" s="251"/>
      <c r="BK88" s="251"/>
      <c r="BL88" s="251"/>
      <c r="BM88" s="251"/>
      <c r="BN88" s="251"/>
      <c r="BO88" s="251"/>
      <c r="BP88" s="251"/>
      <c r="BQ88" s="251"/>
      <c r="BR88" s="251"/>
      <c r="BS88" s="251"/>
      <c r="BT88" s="251"/>
      <c r="BU88" s="251"/>
      <c r="BV88" s="251"/>
      <c r="BW88" s="251"/>
      <c r="BX88" s="251"/>
      <c r="BY88" s="251"/>
      <c r="BZ88" s="251"/>
      <c r="CA88" s="251"/>
      <c r="CB88" s="251"/>
      <c r="CC88" s="251"/>
      <c r="CD88" s="251"/>
      <c r="CE88" s="251"/>
      <c r="CF88" s="251"/>
      <c r="CG88" s="251"/>
      <c r="CH88" s="251"/>
      <c r="CI88" s="251"/>
      <c r="CJ88" s="251"/>
      <c r="CK88" s="251"/>
      <c r="CL88" s="251"/>
      <c r="CM88" s="251"/>
      <c r="CN88" s="251"/>
      <c r="CO88" s="251"/>
      <c r="CP88" s="251"/>
      <c r="CQ88" s="251"/>
      <c r="CR88" s="252"/>
      <c r="CS88" s="246"/>
      <c r="CT88" s="244"/>
      <c r="CU88" s="244"/>
      <c r="CV88" s="244"/>
      <c r="CW88" s="244"/>
      <c r="CX88" s="244"/>
      <c r="CY88" s="244"/>
      <c r="CZ88" s="245"/>
      <c r="DA88" s="246"/>
      <c r="DB88" s="244"/>
      <c r="DC88" s="244"/>
      <c r="DD88" s="244"/>
      <c r="DE88" s="244"/>
      <c r="DF88" s="244"/>
      <c r="DG88" s="244"/>
      <c r="DH88" s="244"/>
      <c r="DI88" s="245"/>
      <c r="DJ88" s="246"/>
      <c r="DK88" s="244"/>
      <c r="DL88" s="244"/>
      <c r="DM88" s="244"/>
      <c r="DN88" s="244"/>
      <c r="DO88" s="244"/>
      <c r="DP88" s="244"/>
      <c r="DQ88" s="244"/>
      <c r="DR88" s="244"/>
      <c r="DS88" s="244"/>
      <c r="DT88" s="253"/>
    </row>
    <row r="89" spans="1:124">
      <c r="A89" s="264" t="s">
        <v>67</v>
      </c>
      <c r="B89" s="257"/>
      <c r="C89" s="257"/>
      <c r="D89" s="257"/>
      <c r="E89" s="257"/>
      <c r="F89" s="257"/>
      <c r="G89" s="257"/>
      <c r="H89" s="257"/>
      <c r="I89" s="257"/>
      <c r="J89" s="257"/>
      <c r="K89" s="257"/>
      <c r="L89" s="257"/>
      <c r="M89" s="258"/>
      <c r="N89" s="256" t="s">
        <v>68</v>
      </c>
      <c r="O89" s="257"/>
      <c r="P89" s="257"/>
      <c r="Q89" s="257"/>
      <c r="R89" s="257"/>
      <c r="S89" s="257"/>
      <c r="T89" s="257"/>
      <c r="U89" s="258"/>
      <c r="V89" s="265" t="s">
        <v>69</v>
      </c>
      <c r="W89" s="266"/>
      <c r="X89" s="266"/>
      <c r="Y89" s="266"/>
      <c r="Z89" s="266"/>
      <c r="AA89" s="267"/>
      <c r="AB89" s="268" t="s">
        <v>70</v>
      </c>
      <c r="AC89" s="269"/>
      <c r="AD89" s="269"/>
      <c r="AE89" s="269"/>
      <c r="AF89" s="270"/>
      <c r="AG89" s="256" t="s">
        <v>71</v>
      </c>
      <c r="AH89" s="257"/>
      <c r="AI89" s="257"/>
      <c r="AJ89" s="257"/>
      <c r="AK89" s="257"/>
      <c r="AL89" s="257"/>
      <c r="AM89" s="257"/>
      <c r="AN89" s="257"/>
      <c r="AO89" s="257"/>
      <c r="AP89" s="257"/>
      <c r="AQ89" s="257"/>
      <c r="AR89" s="257"/>
      <c r="AS89" s="257"/>
      <c r="AT89" s="257"/>
      <c r="AU89" s="257"/>
      <c r="AV89" s="258"/>
      <c r="AW89" s="283" t="s">
        <v>72</v>
      </c>
      <c r="AX89" s="254"/>
      <c r="AY89" s="254"/>
      <c r="AZ89" s="254"/>
      <c r="BA89" s="254"/>
      <c r="BB89" s="254"/>
      <c r="BC89" s="254"/>
      <c r="BD89" s="254"/>
      <c r="BE89" s="254" t="s">
        <v>73</v>
      </c>
      <c r="BF89" s="254"/>
      <c r="BG89" s="254"/>
      <c r="BH89" s="254"/>
      <c r="BI89" s="254"/>
      <c r="BJ89" s="254"/>
      <c r="BK89" s="254"/>
      <c r="BL89" s="254"/>
      <c r="BM89" s="254" t="s">
        <v>74</v>
      </c>
      <c r="BN89" s="254"/>
      <c r="BO89" s="254"/>
      <c r="BP89" s="254"/>
      <c r="BQ89" s="254"/>
      <c r="BR89" s="254"/>
      <c r="BS89" s="254"/>
      <c r="BT89" s="254"/>
      <c r="BU89" s="254" t="s">
        <v>75</v>
      </c>
      <c r="BV89" s="254"/>
      <c r="BW89" s="254"/>
      <c r="BX89" s="254"/>
      <c r="BY89" s="254"/>
      <c r="BZ89" s="254"/>
      <c r="CA89" s="254"/>
      <c r="CB89" s="254"/>
      <c r="CC89" s="254" t="s">
        <v>76</v>
      </c>
      <c r="CD89" s="254"/>
      <c r="CE89" s="254"/>
      <c r="CF89" s="254"/>
      <c r="CG89" s="254"/>
      <c r="CH89" s="254"/>
      <c r="CI89" s="254"/>
      <c r="CJ89" s="254"/>
      <c r="CK89" s="254" t="s">
        <v>77</v>
      </c>
      <c r="CL89" s="254"/>
      <c r="CM89" s="254"/>
      <c r="CN89" s="254"/>
      <c r="CO89" s="254"/>
      <c r="CP89" s="254"/>
      <c r="CQ89" s="254"/>
      <c r="CR89" s="255"/>
      <c r="CS89" s="256" t="s">
        <v>78</v>
      </c>
      <c r="CT89" s="257"/>
      <c r="CU89" s="257"/>
      <c r="CV89" s="257"/>
      <c r="CW89" s="257"/>
      <c r="CX89" s="257"/>
      <c r="CY89" s="257"/>
      <c r="CZ89" s="258"/>
      <c r="DA89" s="256" t="s">
        <v>79</v>
      </c>
      <c r="DB89" s="257"/>
      <c r="DC89" s="257"/>
      <c r="DD89" s="257"/>
      <c r="DE89" s="257"/>
      <c r="DF89" s="257"/>
      <c r="DG89" s="257"/>
      <c r="DH89" s="257"/>
      <c r="DI89" s="258"/>
      <c r="DJ89" s="256" t="s">
        <v>80</v>
      </c>
      <c r="DK89" s="257"/>
      <c r="DL89" s="257"/>
      <c r="DM89" s="257"/>
      <c r="DN89" s="257"/>
      <c r="DO89" s="257"/>
      <c r="DP89" s="257"/>
      <c r="DQ89" s="257"/>
      <c r="DR89" s="257"/>
      <c r="DS89" s="257"/>
      <c r="DT89" s="259"/>
    </row>
    <row r="90" spans="1:124">
      <c r="A90" s="288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90"/>
      <c r="N90" s="260" t="s">
        <v>410</v>
      </c>
      <c r="O90" s="102"/>
      <c r="P90" s="102"/>
      <c r="Q90" s="102"/>
      <c r="R90" s="102"/>
      <c r="S90" s="102"/>
      <c r="T90" s="102"/>
      <c r="U90" s="103"/>
      <c r="V90" s="297">
        <v>42646</v>
      </c>
      <c r="W90" s="102"/>
      <c r="X90" s="102"/>
      <c r="Y90" s="102"/>
      <c r="Z90" s="102"/>
      <c r="AA90" s="103"/>
      <c r="AB90" s="280" t="s">
        <v>252</v>
      </c>
      <c r="AC90" s="281"/>
      <c r="AD90" s="281"/>
      <c r="AE90" s="281"/>
      <c r="AF90" s="282"/>
      <c r="AG90" s="260" t="s">
        <v>433</v>
      </c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3"/>
      <c r="AW90" s="261"/>
      <c r="AX90" s="102"/>
      <c r="AY90" s="102"/>
      <c r="AZ90" s="102"/>
      <c r="BA90" s="102"/>
      <c r="BB90" s="102"/>
      <c r="BC90" s="102"/>
      <c r="BD90" s="103"/>
      <c r="BE90" s="261"/>
      <c r="BF90" s="102"/>
      <c r="BG90" s="102"/>
      <c r="BH90" s="102"/>
      <c r="BI90" s="102"/>
      <c r="BJ90" s="102"/>
      <c r="BK90" s="102"/>
      <c r="BL90" s="103"/>
      <c r="BM90" s="260"/>
      <c r="BN90" s="102"/>
      <c r="BO90" s="102"/>
      <c r="BP90" s="102"/>
      <c r="BQ90" s="102"/>
      <c r="BR90" s="102"/>
      <c r="BS90" s="102"/>
      <c r="BT90" s="103"/>
      <c r="BU90" s="260" t="s">
        <v>456</v>
      </c>
      <c r="BV90" s="102"/>
      <c r="BW90" s="102"/>
      <c r="BX90" s="102"/>
      <c r="BY90" s="102"/>
      <c r="BZ90" s="102"/>
      <c r="CA90" s="102"/>
      <c r="CB90" s="103"/>
      <c r="CC90" s="260" t="s">
        <v>457</v>
      </c>
      <c r="CD90" s="102"/>
      <c r="CE90" s="102"/>
      <c r="CF90" s="102"/>
      <c r="CG90" s="102"/>
      <c r="CH90" s="102"/>
      <c r="CI90" s="102"/>
      <c r="CJ90" s="103"/>
      <c r="CK90" s="337"/>
      <c r="CL90" s="338"/>
      <c r="CM90" s="338"/>
      <c r="CN90" s="338"/>
      <c r="CO90" s="338"/>
      <c r="CP90" s="338"/>
      <c r="CQ90" s="338"/>
      <c r="CR90" s="339"/>
      <c r="CS90" s="271" t="s">
        <v>206</v>
      </c>
      <c r="CT90" s="272"/>
      <c r="CU90" s="298">
        <v>2858</v>
      </c>
      <c r="CV90" s="298"/>
      <c r="CW90" s="298"/>
      <c r="CX90" s="298"/>
      <c r="CY90" s="298"/>
      <c r="CZ90" s="299"/>
      <c r="DA90" s="274" t="s">
        <v>206</v>
      </c>
      <c r="DB90" s="275"/>
      <c r="DC90" s="275">
        <f t="shared" ref="DC90" si="3">+AB90*CU90</f>
        <v>2858</v>
      </c>
      <c r="DD90" s="275"/>
      <c r="DE90" s="275"/>
      <c r="DF90" s="275"/>
      <c r="DG90" s="275"/>
      <c r="DH90" s="275"/>
      <c r="DI90" s="276"/>
      <c r="DJ90" s="260" t="s">
        <v>305</v>
      </c>
      <c r="DK90" s="102"/>
      <c r="DL90" s="102"/>
      <c r="DM90" s="102"/>
      <c r="DN90" s="102"/>
      <c r="DO90" s="102"/>
      <c r="DP90" s="102"/>
      <c r="DQ90" s="102"/>
      <c r="DR90" s="102"/>
      <c r="DS90" s="102"/>
      <c r="DT90" s="340"/>
    </row>
    <row r="91" spans="1:124">
      <c r="A91" s="346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90"/>
      <c r="N91" s="260" t="s">
        <v>411</v>
      </c>
      <c r="O91" s="102"/>
      <c r="P91" s="102"/>
      <c r="Q91" s="102"/>
      <c r="R91" s="102"/>
      <c r="S91" s="102"/>
      <c r="T91" s="102"/>
      <c r="U91" s="103"/>
      <c r="V91" s="297">
        <v>42834</v>
      </c>
      <c r="W91" s="102"/>
      <c r="X91" s="102"/>
      <c r="Y91" s="102"/>
      <c r="Z91" s="102"/>
      <c r="AA91" s="103"/>
      <c r="AB91" s="291" t="s">
        <v>252</v>
      </c>
      <c r="AC91" s="295"/>
      <c r="AD91" s="295"/>
      <c r="AE91" s="295"/>
      <c r="AF91" s="296"/>
      <c r="AG91" s="262" t="s">
        <v>348</v>
      </c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1"/>
      <c r="AW91" s="284"/>
      <c r="AX91" s="90"/>
      <c r="AY91" s="90"/>
      <c r="AZ91" s="90"/>
      <c r="BA91" s="90"/>
      <c r="BB91" s="90"/>
      <c r="BC91" s="90"/>
      <c r="BD91" s="91"/>
      <c r="BE91" s="284"/>
      <c r="BF91" s="90"/>
      <c r="BG91" s="90"/>
      <c r="BH91" s="90"/>
      <c r="BI91" s="90"/>
      <c r="BJ91" s="90"/>
      <c r="BK91" s="90"/>
      <c r="BL91" s="91"/>
      <c r="BM91" s="262" t="s">
        <v>219</v>
      </c>
      <c r="BN91" s="90"/>
      <c r="BO91" s="90"/>
      <c r="BP91" s="90"/>
      <c r="BQ91" s="90"/>
      <c r="BR91" s="90"/>
      <c r="BS91" s="90"/>
      <c r="BT91" s="91"/>
      <c r="BU91" s="262" t="s">
        <v>220</v>
      </c>
      <c r="BV91" s="90"/>
      <c r="BW91" s="90"/>
      <c r="BX91" s="90"/>
      <c r="BY91" s="90"/>
      <c r="BZ91" s="90"/>
      <c r="CA91" s="90"/>
      <c r="CB91" s="91"/>
      <c r="CC91" s="284"/>
      <c r="CD91" s="90"/>
      <c r="CE91" s="90"/>
      <c r="CF91" s="90"/>
      <c r="CG91" s="90"/>
      <c r="CH91" s="90"/>
      <c r="CI91" s="90"/>
      <c r="CJ91" s="91"/>
      <c r="CK91" s="284"/>
      <c r="CL91" s="90"/>
      <c r="CM91" s="90"/>
      <c r="CN91" s="90"/>
      <c r="CO91" s="90"/>
      <c r="CP91" s="90"/>
      <c r="CQ91" s="90"/>
      <c r="CR91" s="91"/>
      <c r="CS91" s="271" t="s">
        <v>206</v>
      </c>
      <c r="CT91" s="272"/>
      <c r="CU91" s="298">
        <v>3428</v>
      </c>
      <c r="CV91" s="298"/>
      <c r="CW91" s="298"/>
      <c r="CX91" s="298"/>
      <c r="CY91" s="298"/>
      <c r="CZ91" s="299"/>
      <c r="DA91" s="274" t="s">
        <v>206</v>
      </c>
      <c r="DB91" s="275"/>
      <c r="DC91" s="275">
        <f t="shared" ref="DC91:DC114" si="4">+AB91*CU91</f>
        <v>3428</v>
      </c>
      <c r="DD91" s="275"/>
      <c r="DE91" s="275"/>
      <c r="DF91" s="275"/>
      <c r="DG91" s="275"/>
      <c r="DH91" s="275"/>
      <c r="DI91" s="276"/>
      <c r="DJ91" s="260" t="s">
        <v>305</v>
      </c>
      <c r="DK91" s="102"/>
      <c r="DL91" s="102"/>
      <c r="DM91" s="102"/>
      <c r="DN91" s="102"/>
      <c r="DO91" s="102"/>
      <c r="DP91" s="102"/>
      <c r="DQ91" s="102"/>
      <c r="DR91" s="102"/>
      <c r="DS91" s="102"/>
      <c r="DT91" s="340"/>
    </row>
    <row r="92" spans="1:124">
      <c r="A92" s="306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90"/>
      <c r="N92" s="307" t="s">
        <v>412</v>
      </c>
      <c r="O92" s="102"/>
      <c r="P92" s="102"/>
      <c r="Q92" s="102"/>
      <c r="R92" s="102"/>
      <c r="S92" s="102"/>
      <c r="T92" s="102"/>
      <c r="U92" s="103"/>
      <c r="V92" s="297">
        <v>42885</v>
      </c>
      <c r="W92" s="102"/>
      <c r="X92" s="102"/>
      <c r="Y92" s="102"/>
      <c r="Z92" s="102"/>
      <c r="AA92" s="103"/>
      <c r="AB92" s="291" t="s">
        <v>217</v>
      </c>
      <c r="AC92" s="295"/>
      <c r="AD92" s="295"/>
      <c r="AE92" s="295"/>
      <c r="AF92" s="296"/>
      <c r="AG92" s="301" t="s">
        <v>434</v>
      </c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3"/>
      <c r="AW92" s="284"/>
      <c r="AX92" s="90"/>
      <c r="AY92" s="90"/>
      <c r="AZ92" s="90"/>
      <c r="BA92" s="90"/>
      <c r="BB92" s="90"/>
      <c r="BC92" s="90"/>
      <c r="BD92" s="91"/>
      <c r="BE92" s="284"/>
      <c r="BF92" s="90"/>
      <c r="BG92" s="90"/>
      <c r="BH92" s="90"/>
      <c r="BI92" s="90"/>
      <c r="BJ92" s="90"/>
      <c r="BK92" s="90"/>
      <c r="BL92" s="91"/>
      <c r="BM92" s="262" t="s">
        <v>219</v>
      </c>
      <c r="BN92" s="90"/>
      <c r="BO92" s="90"/>
      <c r="BP92" s="90"/>
      <c r="BQ92" s="90"/>
      <c r="BR92" s="90"/>
      <c r="BS92" s="90"/>
      <c r="BT92" s="91"/>
      <c r="BU92" s="284"/>
      <c r="BV92" s="90"/>
      <c r="BW92" s="90"/>
      <c r="BX92" s="90"/>
      <c r="BY92" s="90"/>
      <c r="BZ92" s="90"/>
      <c r="CA92" s="90"/>
      <c r="CB92" s="91"/>
      <c r="CC92" s="284"/>
      <c r="CD92" s="90"/>
      <c r="CE92" s="90"/>
      <c r="CF92" s="90"/>
      <c r="CG92" s="90"/>
      <c r="CH92" s="90"/>
      <c r="CI92" s="90"/>
      <c r="CJ92" s="91"/>
      <c r="CK92" s="284"/>
      <c r="CL92" s="90"/>
      <c r="CM92" s="90"/>
      <c r="CN92" s="90"/>
      <c r="CO92" s="90"/>
      <c r="CP92" s="90"/>
      <c r="CQ92" s="90"/>
      <c r="CR92" s="91"/>
      <c r="CS92" s="271" t="s">
        <v>206</v>
      </c>
      <c r="CT92" s="272"/>
      <c r="CU92" s="298">
        <v>3124.5</v>
      </c>
      <c r="CV92" s="298"/>
      <c r="CW92" s="298"/>
      <c r="CX92" s="298"/>
      <c r="CY92" s="298"/>
      <c r="CZ92" s="299"/>
      <c r="DA92" s="274" t="s">
        <v>206</v>
      </c>
      <c r="DB92" s="275"/>
      <c r="DC92" s="275">
        <f t="shared" si="4"/>
        <v>6249</v>
      </c>
      <c r="DD92" s="275"/>
      <c r="DE92" s="275"/>
      <c r="DF92" s="275"/>
      <c r="DG92" s="275"/>
      <c r="DH92" s="275"/>
      <c r="DI92" s="276"/>
      <c r="DJ92" s="260" t="s">
        <v>305</v>
      </c>
      <c r="DK92" s="102"/>
      <c r="DL92" s="102"/>
      <c r="DM92" s="102"/>
      <c r="DN92" s="102"/>
      <c r="DO92" s="102"/>
      <c r="DP92" s="102"/>
      <c r="DQ92" s="102"/>
      <c r="DR92" s="102"/>
      <c r="DS92" s="102"/>
      <c r="DT92" s="340"/>
    </row>
    <row r="93" spans="1:124">
      <c r="A93" s="308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307" t="s">
        <v>413</v>
      </c>
      <c r="O93" s="102"/>
      <c r="P93" s="102"/>
      <c r="Q93" s="102"/>
      <c r="R93" s="102"/>
      <c r="S93" s="102"/>
      <c r="T93" s="102"/>
      <c r="U93" s="103"/>
      <c r="V93" s="311">
        <v>44095</v>
      </c>
      <c r="W93" s="347"/>
      <c r="X93" s="347"/>
      <c r="Y93" s="347"/>
      <c r="Z93" s="347"/>
      <c r="AA93" s="348"/>
      <c r="AB93" s="312" t="s">
        <v>252</v>
      </c>
      <c r="AC93" s="313"/>
      <c r="AD93" s="313"/>
      <c r="AE93" s="313"/>
      <c r="AF93" s="313"/>
      <c r="AG93" s="285" t="s">
        <v>435</v>
      </c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5"/>
      <c r="AX93" s="286"/>
      <c r="AY93" s="286"/>
      <c r="AZ93" s="286"/>
      <c r="BA93" s="286"/>
      <c r="BB93" s="286"/>
      <c r="BC93" s="286"/>
      <c r="BD93" s="286"/>
      <c r="BE93" s="285"/>
      <c r="BF93" s="286"/>
      <c r="BG93" s="286"/>
      <c r="BH93" s="286"/>
      <c r="BI93" s="286"/>
      <c r="BJ93" s="286"/>
      <c r="BK93" s="286"/>
      <c r="BL93" s="286"/>
      <c r="BM93" s="286"/>
      <c r="BN93" s="286"/>
      <c r="BO93" s="286"/>
      <c r="BP93" s="286"/>
      <c r="BQ93" s="286"/>
      <c r="BR93" s="286"/>
      <c r="BS93" s="286"/>
      <c r="BT93" s="286"/>
      <c r="BU93" s="285"/>
      <c r="BV93" s="286"/>
      <c r="BW93" s="286"/>
      <c r="BX93" s="286"/>
      <c r="BY93" s="286"/>
      <c r="BZ93" s="286"/>
      <c r="CA93" s="286"/>
      <c r="CB93" s="286"/>
      <c r="CC93" s="286"/>
      <c r="CD93" s="286"/>
      <c r="CE93" s="286"/>
      <c r="CF93" s="286"/>
      <c r="CG93" s="286"/>
      <c r="CH93" s="286"/>
      <c r="CI93" s="286"/>
      <c r="CJ93" s="286"/>
      <c r="CK93" s="341"/>
      <c r="CL93" s="342"/>
      <c r="CM93" s="342"/>
      <c r="CN93" s="342"/>
      <c r="CO93" s="342"/>
      <c r="CP93" s="342"/>
      <c r="CQ93" s="342"/>
      <c r="CR93" s="343"/>
      <c r="CS93" s="271" t="s">
        <v>206</v>
      </c>
      <c r="CT93" s="272"/>
      <c r="CU93" s="298">
        <v>7000</v>
      </c>
      <c r="CV93" s="298"/>
      <c r="CW93" s="298"/>
      <c r="CX93" s="298"/>
      <c r="CY93" s="298"/>
      <c r="CZ93" s="299"/>
      <c r="DA93" s="274" t="s">
        <v>206</v>
      </c>
      <c r="DB93" s="275"/>
      <c r="DC93" s="275">
        <f t="shared" si="4"/>
        <v>7000</v>
      </c>
      <c r="DD93" s="275"/>
      <c r="DE93" s="275"/>
      <c r="DF93" s="275"/>
      <c r="DG93" s="275"/>
      <c r="DH93" s="275"/>
      <c r="DI93" s="276"/>
      <c r="DJ93" s="260" t="s">
        <v>305</v>
      </c>
      <c r="DK93" s="102"/>
      <c r="DL93" s="102"/>
      <c r="DM93" s="102"/>
      <c r="DN93" s="102"/>
      <c r="DO93" s="102"/>
      <c r="DP93" s="102"/>
      <c r="DQ93" s="102"/>
      <c r="DR93" s="102"/>
      <c r="DS93" s="102"/>
      <c r="DT93" s="340"/>
    </row>
    <row r="94" spans="1:124">
      <c r="A94" s="304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307" t="s">
        <v>414</v>
      </c>
      <c r="O94" s="102"/>
      <c r="P94" s="102"/>
      <c r="Q94" s="102"/>
      <c r="R94" s="102"/>
      <c r="S94" s="102"/>
      <c r="T94" s="102"/>
      <c r="U94" s="103"/>
      <c r="V94" s="311">
        <v>44095</v>
      </c>
      <c r="W94" s="347"/>
      <c r="X94" s="347"/>
      <c r="Y94" s="347"/>
      <c r="Z94" s="347"/>
      <c r="AA94" s="348"/>
      <c r="AB94" s="312" t="s">
        <v>252</v>
      </c>
      <c r="AC94" s="313"/>
      <c r="AD94" s="313"/>
      <c r="AE94" s="313"/>
      <c r="AF94" s="313"/>
      <c r="AG94" s="285" t="s">
        <v>436</v>
      </c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5"/>
      <c r="AX94" s="286"/>
      <c r="AY94" s="286"/>
      <c r="AZ94" s="286"/>
      <c r="BA94" s="286"/>
      <c r="BB94" s="286"/>
      <c r="BC94" s="286"/>
      <c r="BD94" s="286"/>
      <c r="BE94" s="286"/>
      <c r="BF94" s="286"/>
      <c r="BG94" s="286"/>
      <c r="BH94" s="286"/>
      <c r="BI94" s="286"/>
      <c r="BJ94" s="286"/>
      <c r="BK94" s="286"/>
      <c r="BL94" s="286"/>
      <c r="BM94" s="286"/>
      <c r="BN94" s="286"/>
      <c r="BO94" s="286"/>
      <c r="BP94" s="286"/>
      <c r="BQ94" s="286"/>
      <c r="BR94" s="286"/>
      <c r="BS94" s="286"/>
      <c r="BT94" s="286"/>
      <c r="BU94" s="286"/>
      <c r="BV94" s="286"/>
      <c r="BW94" s="286"/>
      <c r="BX94" s="286"/>
      <c r="BY94" s="286"/>
      <c r="BZ94" s="286"/>
      <c r="CA94" s="286"/>
      <c r="CB94" s="286"/>
      <c r="CC94" s="285"/>
      <c r="CD94" s="286"/>
      <c r="CE94" s="286"/>
      <c r="CF94" s="286"/>
      <c r="CG94" s="286"/>
      <c r="CH94" s="286"/>
      <c r="CI94" s="286"/>
      <c r="CJ94" s="286"/>
      <c r="CK94" s="341"/>
      <c r="CL94" s="342"/>
      <c r="CM94" s="342"/>
      <c r="CN94" s="342"/>
      <c r="CO94" s="342"/>
      <c r="CP94" s="342"/>
      <c r="CQ94" s="342"/>
      <c r="CR94" s="343"/>
      <c r="CS94" s="271" t="s">
        <v>206</v>
      </c>
      <c r="CT94" s="272"/>
      <c r="CU94" s="298">
        <v>400</v>
      </c>
      <c r="CV94" s="298"/>
      <c r="CW94" s="298"/>
      <c r="CX94" s="298"/>
      <c r="CY94" s="298"/>
      <c r="CZ94" s="299"/>
      <c r="DA94" s="274" t="s">
        <v>206</v>
      </c>
      <c r="DB94" s="275"/>
      <c r="DC94" s="275">
        <f t="shared" si="4"/>
        <v>400</v>
      </c>
      <c r="DD94" s="275"/>
      <c r="DE94" s="275"/>
      <c r="DF94" s="275"/>
      <c r="DG94" s="275"/>
      <c r="DH94" s="275"/>
      <c r="DI94" s="276"/>
      <c r="DJ94" s="260" t="s">
        <v>305</v>
      </c>
      <c r="DK94" s="102"/>
      <c r="DL94" s="102"/>
      <c r="DM94" s="102"/>
      <c r="DN94" s="102"/>
      <c r="DO94" s="102"/>
      <c r="DP94" s="102"/>
      <c r="DQ94" s="102"/>
      <c r="DR94" s="102"/>
      <c r="DS94" s="102"/>
      <c r="DT94" s="340"/>
    </row>
    <row r="95" spans="1:124">
      <c r="A95" s="304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307" t="s">
        <v>415</v>
      </c>
      <c r="O95" s="102"/>
      <c r="P95" s="102"/>
      <c r="Q95" s="102"/>
      <c r="R95" s="102"/>
      <c r="S95" s="102"/>
      <c r="T95" s="102"/>
      <c r="U95" s="103"/>
      <c r="V95" s="311">
        <v>44095</v>
      </c>
      <c r="W95" s="347"/>
      <c r="X95" s="347"/>
      <c r="Y95" s="347"/>
      <c r="Z95" s="347"/>
      <c r="AA95" s="348"/>
      <c r="AB95" s="291" t="s">
        <v>252</v>
      </c>
      <c r="AC95" s="295"/>
      <c r="AD95" s="295"/>
      <c r="AE95" s="295"/>
      <c r="AF95" s="296"/>
      <c r="AG95" s="262" t="s">
        <v>437</v>
      </c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1"/>
      <c r="AW95" s="262"/>
      <c r="AX95" s="90"/>
      <c r="AY95" s="90"/>
      <c r="AZ95" s="90"/>
      <c r="BA95" s="90"/>
      <c r="BB95" s="90"/>
      <c r="BC95" s="90"/>
      <c r="BD95" s="91"/>
      <c r="BE95" s="284"/>
      <c r="BF95" s="90"/>
      <c r="BG95" s="90"/>
      <c r="BH95" s="90"/>
      <c r="BI95" s="90"/>
      <c r="BJ95" s="90"/>
      <c r="BK95" s="90"/>
      <c r="BL95" s="91"/>
      <c r="BM95" s="284"/>
      <c r="BN95" s="90"/>
      <c r="BO95" s="90"/>
      <c r="BP95" s="90"/>
      <c r="BQ95" s="90"/>
      <c r="BR95" s="90"/>
      <c r="BS95" s="90"/>
      <c r="BT95" s="91"/>
      <c r="BU95" s="284"/>
      <c r="BV95" s="90"/>
      <c r="BW95" s="90"/>
      <c r="BX95" s="90"/>
      <c r="BY95" s="90"/>
      <c r="BZ95" s="90"/>
      <c r="CA95" s="90"/>
      <c r="CB95" s="91"/>
      <c r="CC95" s="262"/>
      <c r="CD95" s="90"/>
      <c r="CE95" s="90"/>
      <c r="CF95" s="90"/>
      <c r="CG95" s="90"/>
      <c r="CH95" s="90"/>
      <c r="CI95" s="90"/>
      <c r="CJ95" s="91"/>
      <c r="CK95" s="341"/>
      <c r="CL95" s="342"/>
      <c r="CM95" s="342"/>
      <c r="CN95" s="342"/>
      <c r="CO95" s="342"/>
      <c r="CP95" s="342"/>
      <c r="CQ95" s="342"/>
      <c r="CR95" s="343"/>
      <c r="CS95" s="271" t="s">
        <v>206</v>
      </c>
      <c r="CT95" s="272"/>
      <c r="CU95" s="298">
        <v>500</v>
      </c>
      <c r="CV95" s="298"/>
      <c r="CW95" s="298"/>
      <c r="CX95" s="298"/>
      <c r="CY95" s="298"/>
      <c r="CZ95" s="299"/>
      <c r="DA95" s="274" t="s">
        <v>206</v>
      </c>
      <c r="DB95" s="275"/>
      <c r="DC95" s="275">
        <f t="shared" si="4"/>
        <v>500</v>
      </c>
      <c r="DD95" s="275"/>
      <c r="DE95" s="275"/>
      <c r="DF95" s="275"/>
      <c r="DG95" s="275"/>
      <c r="DH95" s="275"/>
      <c r="DI95" s="276"/>
      <c r="DJ95" s="260" t="s">
        <v>305</v>
      </c>
      <c r="DK95" s="102"/>
      <c r="DL95" s="102"/>
      <c r="DM95" s="102"/>
      <c r="DN95" s="102"/>
      <c r="DO95" s="102"/>
      <c r="DP95" s="102"/>
      <c r="DQ95" s="102"/>
      <c r="DR95" s="102"/>
      <c r="DS95" s="102"/>
      <c r="DT95" s="340"/>
    </row>
    <row r="96" spans="1:124">
      <c r="A96" s="306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90"/>
      <c r="N96" s="307" t="s">
        <v>416</v>
      </c>
      <c r="O96" s="102"/>
      <c r="P96" s="102"/>
      <c r="Q96" s="102"/>
      <c r="R96" s="102"/>
      <c r="S96" s="102"/>
      <c r="T96" s="102"/>
      <c r="U96" s="103"/>
      <c r="V96" s="311">
        <v>44095</v>
      </c>
      <c r="W96" s="347"/>
      <c r="X96" s="347"/>
      <c r="Y96" s="347"/>
      <c r="Z96" s="347"/>
      <c r="AA96" s="348"/>
      <c r="AB96" s="291" t="s">
        <v>252</v>
      </c>
      <c r="AC96" s="295"/>
      <c r="AD96" s="295"/>
      <c r="AE96" s="295"/>
      <c r="AF96" s="296"/>
      <c r="AG96" s="262" t="s">
        <v>438</v>
      </c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1"/>
      <c r="AW96" s="284"/>
      <c r="AX96" s="90"/>
      <c r="AY96" s="90"/>
      <c r="AZ96" s="90"/>
      <c r="BA96" s="90"/>
      <c r="BB96" s="90"/>
      <c r="BC96" s="90"/>
      <c r="BD96" s="91"/>
      <c r="BE96" s="284"/>
      <c r="BF96" s="90"/>
      <c r="BG96" s="90"/>
      <c r="BH96" s="90"/>
      <c r="BI96" s="90"/>
      <c r="BJ96" s="90"/>
      <c r="BK96" s="90"/>
      <c r="BL96" s="91"/>
      <c r="BM96" s="262"/>
      <c r="BN96" s="90"/>
      <c r="BO96" s="90"/>
      <c r="BP96" s="90"/>
      <c r="BQ96" s="90"/>
      <c r="BR96" s="90"/>
      <c r="BS96" s="90"/>
      <c r="BT96" s="91"/>
      <c r="BU96" s="262"/>
      <c r="BV96" s="90"/>
      <c r="BW96" s="90"/>
      <c r="BX96" s="90"/>
      <c r="BY96" s="90"/>
      <c r="BZ96" s="90"/>
      <c r="CA96" s="90"/>
      <c r="CB96" s="91"/>
      <c r="CC96" s="262"/>
      <c r="CD96" s="90"/>
      <c r="CE96" s="90"/>
      <c r="CF96" s="90"/>
      <c r="CG96" s="90"/>
      <c r="CH96" s="90"/>
      <c r="CI96" s="90"/>
      <c r="CJ96" s="91"/>
      <c r="CK96" s="284"/>
      <c r="CL96" s="90"/>
      <c r="CM96" s="90"/>
      <c r="CN96" s="90"/>
      <c r="CO96" s="90"/>
      <c r="CP96" s="90"/>
      <c r="CQ96" s="90"/>
      <c r="CR96" s="91"/>
      <c r="CS96" s="271" t="s">
        <v>206</v>
      </c>
      <c r="CT96" s="272"/>
      <c r="CU96" s="298">
        <v>300</v>
      </c>
      <c r="CV96" s="298"/>
      <c r="CW96" s="298"/>
      <c r="CX96" s="298"/>
      <c r="CY96" s="298"/>
      <c r="CZ96" s="299"/>
      <c r="DA96" s="274" t="s">
        <v>206</v>
      </c>
      <c r="DB96" s="275"/>
      <c r="DC96" s="275">
        <f t="shared" si="4"/>
        <v>300</v>
      </c>
      <c r="DD96" s="275"/>
      <c r="DE96" s="275"/>
      <c r="DF96" s="275"/>
      <c r="DG96" s="275"/>
      <c r="DH96" s="275"/>
      <c r="DI96" s="276"/>
      <c r="DJ96" s="260" t="s">
        <v>305</v>
      </c>
      <c r="DK96" s="102"/>
      <c r="DL96" s="102"/>
      <c r="DM96" s="102"/>
      <c r="DN96" s="102"/>
      <c r="DO96" s="102"/>
      <c r="DP96" s="102"/>
      <c r="DQ96" s="102"/>
      <c r="DR96" s="102"/>
      <c r="DS96" s="102"/>
      <c r="DT96" s="340"/>
    </row>
    <row r="97" spans="1:124">
      <c r="A97" s="365" t="s">
        <v>215</v>
      </c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90"/>
      <c r="N97" s="309" t="s">
        <v>417</v>
      </c>
      <c r="O97" s="90"/>
      <c r="P97" s="90"/>
      <c r="Q97" s="90"/>
      <c r="R97" s="90"/>
      <c r="S97" s="90"/>
      <c r="T97" s="90"/>
      <c r="U97" s="91"/>
      <c r="V97" s="261">
        <v>1988</v>
      </c>
      <c r="W97" s="102"/>
      <c r="X97" s="102"/>
      <c r="Y97" s="102"/>
      <c r="Z97" s="102"/>
      <c r="AA97" s="103"/>
      <c r="AB97" s="291" t="s">
        <v>252</v>
      </c>
      <c r="AC97" s="295"/>
      <c r="AD97" s="295"/>
      <c r="AE97" s="295"/>
      <c r="AF97" s="296"/>
      <c r="AG97" s="262" t="s">
        <v>439</v>
      </c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1"/>
      <c r="AW97" s="262"/>
      <c r="AX97" s="90"/>
      <c r="AY97" s="90"/>
      <c r="AZ97" s="90"/>
      <c r="BA97" s="90"/>
      <c r="BB97" s="90"/>
      <c r="BC97" s="90"/>
      <c r="BD97" s="91"/>
      <c r="BE97" s="284"/>
      <c r="BF97" s="90"/>
      <c r="BG97" s="90"/>
      <c r="BH97" s="90"/>
      <c r="BI97" s="90"/>
      <c r="BJ97" s="90"/>
      <c r="BK97" s="90"/>
      <c r="BL97" s="91"/>
      <c r="BM97" s="262" t="s">
        <v>219</v>
      </c>
      <c r="BN97" s="90"/>
      <c r="BO97" s="90"/>
      <c r="BP97" s="90"/>
      <c r="BQ97" s="90"/>
      <c r="BR97" s="90"/>
      <c r="BS97" s="90"/>
      <c r="BT97" s="91"/>
      <c r="BU97" s="262" t="s">
        <v>220</v>
      </c>
      <c r="BV97" s="90"/>
      <c r="BW97" s="90"/>
      <c r="BX97" s="90"/>
      <c r="BY97" s="90"/>
      <c r="BZ97" s="90"/>
      <c r="CA97" s="90"/>
      <c r="CB97" s="91"/>
      <c r="CC97" s="262" t="s">
        <v>461</v>
      </c>
      <c r="CD97" s="90"/>
      <c r="CE97" s="90"/>
      <c r="CF97" s="90"/>
      <c r="CG97" s="90"/>
      <c r="CH97" s="90"/>
      <c r="CI97" s="90"/>
      <c r="CJ97" s="91"/>
      <c r="CK97" s="262"/>
      <c r="CL97" s="90"/>
      <c r="CM97" s="90"/>
      <c r="CN97" s="90"/>
      <c r="CO97" s="90"/>
      <c r="CP97" s="90"/>
      <c r="CQ97" s="90"/>
      <c r="CR97" s="91"/>
      <c r="CS97" s="271" t="s">
        <v>206</v>
      </c>
      <c r="CT97" s="272"/>
      <c r="CU97" s="298">
        <v>387.3</v>
      </c>
      <c r="CV97" s="298"/>
      <c r="CW97" s="298"/>
      <c r="CX97" s="298"/>
      <c r="CY97" s="298"/>
      <c r="CZ97" s="299"/>
      <c r="DA97" s="274" t="s">
        <v>206</v>
      </c>
      <c r="DB97" s="275"/>
      <c r="DC97" s="275">
        <f t="shared" si="4"/>
        <v>387.3</v>
      </c>
      <c r="DD97" s="275"/>
      <c r="DE97" s="275"/>
      <c r="DF97" s="275"/>
      <c r="DG97" s="275"/>
      <c r="DH97" s="275"/>
      <c r="DI97" s="276"/>
      <c r="DJ97" s="260" t="s">
        <v>305</v>
      </c>
      <c r="DK97" s="102"/>
      <c r="DL97" s="102"/>
      <c r="DM97" s="102"/>
      <c r="DN97" s="102"/>
      <c r="DO97" s="102"/>
      <c r="DP97" s="102"/>
      <c r="DQ97" s="102"/>
      <c r="DR97" s="102"/>
      <c r="DS97" s="102"/>
      <c r="DT97" s="340"/>
    </row>
    <row r="98" spans="1:124">
      <c r="A98" s="306" t="s">
        <v>402</v>
      </c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90"/>
      <c r="N98" s="309" t="s">
        <v>418</v>
      </c>
      <c r="O98" s="90"/>
      <c r="P98" s="90"/>
      <c r="Q98" s="90"/>
      <c r="R98" s="90"/>
      <c r="S98" s="90"/>
      <c r="T98" s="90"/>
      <c r="U98" s="91"/>
      <c r="V98" s="361">
        <v>36460</v>
      </c>
      <c r="W98" s="102"/>
      <c r="X98" s="102"/>
      <c r="Y98" s="102"/>
      <c r="Z98" s="102"/>
      <c r="AA98" s="103"/>
      <c r="AB98" s="291" t="s">
        <v>252</v>
      </c>
      <c r="AC98" s="295"/>
      <c r="AD98" s="295"/>
      <c r="AE98" s="295"/>
      <c r="AF98" s="296"/>
      <c r="AG98" s="362" t="s">
        <v>440</v>
      </c>
      <c r="AH98" s="363"/>
      <c r="AI98" s="363"/>
      <c r="AJ98" s="363"/>
      <c r="AK98" s="363"/>
      <c r="AL98" s="363"/>
      <c r="AM98" s="363"/>
      <c r="AN98" s="363"/>
      <c r="AO98" s="363"/>
      <c r="AP98" s="363"/>
      <c r="AQ98" s="363"/>
      <c r="AR98" s="363"/>
      <c r="AS98" s="363"/>
      <c r="AT98" s="363"/>
      <c r="AU98" s="363"/>
      <c r="AV98" s="364"/>
      <c r="AW98" s="262" t="s">
        <v>449</v>
      </c>
      <c r="AX98" s="90"/>
      <c r="AY98" s="90"/>
      <c r="AZ98" s="90"/>
      <c r="BA98" s="90"/>
      <c r="BB98" s="90"/>
      <c r="BC98" s="90"/>
      <c r="BD98" s="91"/>
      <c r="BE98" s="284"/>
      <c r="BF98" s="90"/>
      <c r="BG98" s="90"/>
      <c r="BH98" s="90"/>
      <c r="BI98" s="90"/>
      <c r="BJ98" s="90"/>
      <c r="BK98" s="90"/>
      <c r="BL98" s="91"/>
      <c r="BM98" s="262" t="s">
        <v>288</v>
      </c>
      <c r="BN98" s="90"/>
      <c r="BO98" s="90"/>
      <c r="BP98" s="90"/>
      <c r="BQ98" s="90"/>
      <c r="BR98" s="90"/>
      <c r="BS98" s="90"/>
      <c r="BT98" s="91"/>
      <c r="BU98" s="262" t="s">
        <v>459</v>
      </c>
      <c r="BV98" s="90"/>
      <c r="BW98" s="90"/>
      <c r="BX98" s="90"/>
      <c r="BY98" s="90"/>
      <c r="BZ98" s="90"/>
      <c r="CA98" s="90"/>
      <c r="CB98" s="91"/>
      <c r="CC98" s="284"/>
      <c r="CD98" s="90"/>
      <c r="CE98" s="90"/>
      <c r="CF98" s="90"/>
      <c r="CG98" s="90"/>
      <c r="CH98" s="90"/>
      <c r="CI98" s="90"/>
      <c r="CJ98" s="91"/>
      <c r="CK98" s="284">
        <v>338426</v>
      </c>
      <c r="CL98" s="90"/>
      <c r="CM98" s="90"/>
      <c r="CN98" s="90"/>
      <c r="CO98" s="90"/>
      <c r="CP98" s="90"/>
      <c r="CQ98" s="90"/>
      <c r="CR98" s="91"/>
      <c r="CS98" s="271" t="s">
        <v>206</v>
      </c>
      <c r="CT98" s="272"/>
      <c r="CU98" s="298">
        <v>2995</v>
      </c>
      <c r="CV98" s="298"/>
      <c r="CW98" s="298"/>
      <c r="CX98" s="298"/>
      <c r="CY98" s="298"/>
      <c r="CZ98" s="299"/>
      <c r="DA98" s="274" t="s">
        <v>206</v>
      </c>
      <c r="DB98" s="275"/>
      <c r="DC98" s="275">
        <f t="shared" si="4"/>
        <v>2995</v>
      </c>
      <c r="DD98" s="275"/>
      <c r="DE98" s="275"/>
      <c r="DF98" s="275"/>
      <c r="DG98" s="275"/>
      <c r="DH98" s="275"/>
      <c r="DI98" s="276"/>
      <c r="DJ98" s="260" t="s">
        <v>305</v>
      </c>
      <c r="DK98" s="102"/>
      <c r="DL98" s="102"/>
      <c r="DM98" s="102"/>
      <c r="DN98" s="102"/>
      <c r="DO98" s="102"/>
      <c r="DP98" s="102"/>
      <c r="DQ98" s="102"/>
      <c r="DR98" s="102"/>
      <c r="DS98" s="102"/>
      <c r="DT98" s="340"/>
    </row>
    <row r="99" spans="1:124">
      <c r="A99" s="288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90"/>
      <c r="N99" s="309" t="s">
        <v>419</v>
      </c>
      <c r="O99" s="90"/>
      <c r="P99" s="90"/>
      <c r="Q99" s="90"/>
      <c r="R99" s="90"/>
      <c r="S99" s="90"/>
      <c r="T99" s="90"/>
      <c r="U99" s="91"/>
      <c r="V99" s="361">
        <v>36460</v>
      </c>
      <c r="W99" s="102"/>
      <c r="X99" s="102"/>
      <c r="Y99" s="102"/>
      <c r="Z99" s="102"/>
      <c r="AA99" s="103"/>
      <c r="AB99" s="291" t="s">
        <v>252</v>
      </c>
      <c r="AC99" s="295"/>
      <c r="AD99" s="295"/>
      <c r="AE99" s="295"/>
      <c r="AF99" s="296"/>
      <c r="AG99" s="362" t="s">
        <v>440</v>
      </c>
      <c r="AH99" s="363"/>
      <c r="AI99" s="363"/>
      <c r="AJ99" s="363"/>
      <c r="AK99" s="363"/>
      <c r="AL99" s="363"/>
      <c r="AM99" s="363"/>
      <c r="AN99" s="363"/>
      <c r="AO99" s="363"/>
      <c r="AP99" s="363"/>
      <c r="AQ99" s="363"/>
      <c r="AR99" s="363"/>
      <c r="AS99" s="363"/>
      <c r="AT99" s="363"/>
      <c r="AU99" s="363"/>
      <c r="AV99" s="364"/>
      <c r="AW99" s="262" t="s">
        <v>449</v>
      </c>
      <c r="AX99" s="90"/>
      <c r="AY99" s="90"/>
      <c r="AZ99" s="90"/>
      <c r="BA99" s="90"/>
      <c r="BB99" s="90"/>
      <c r="BC99" s="90"/>
      <c r="BD99" s="91"/>
      <c r="BE99" s="286"/>
      <c r="BF99" s="286"/>
      <c r="BG99" s="286"/>
      <c r="BH99" s="286"/>
      <c r="BI99" s="286"/>
      <c r="BJ99" s="286"/>
      <c r="BK99" s="286"/>
      <c r="BL99" s="286"/>
      <c r="BM99" s="285" t="s">
        <v>288</v>
      </c>
      <c r="BN99" s="286"/>
      <c r="BO99" s="286"/>
      <c r="BP99" s="286"/>
      <c r="BQ99" s="286"/>
      <c r="BR99" s="286"/>
      <c r="BS99" s="286"/>
      <c r="BT99" s="286"/>
      <c r="BU99" s="285" t="s">
        <v>459</v>
      </c>
      <c r="BV99" s="286"/>
      <c r="BW99" s="286"/>
      <c r="BX99" s="286"/>
      <c r="BY99" s="286"/>
      <c r="BZ99" s="286"/>
      <c r="CA99" s="286"/>
      <c r="CB99" s="286"/>
      <c r="CC99" s="286"/>
      <c r="CD99" s="286"/>
      <c r="CE99" s="286"/>
      <c r="CF99" s="286"/>
      <c r="CG99" s="286"/>
      <c r="CH99" s="286"/>
      <c r="CI99" s="286"/>
      <c r="CJ99" s="286"/>
      <c r="CK99" s="286">
        <v>338460</v>
      </c>
      <c r="CL99" s="286"/>
      <c r="CM99" s="286"/>
      <c r="CN99" s="286"/>
      <c r="CO99" s="286"/>
      <c r="CP99" s="286"/>
      <c r="CQ99" s="286"/>
      <c r="CR99" s="286"/>
      <c r="CS99" s="271" t="s">
        <v>206</v>
      </c>
      <c r="CT99" s="272"/>
      <c r="CU99" s="298">
        <v>2995</v>
      </c>
      <c r="CV99" s="298"/>
      <c r="CW99" s="298"/>
      <c r="CX99" s="298"/>
      <c r="CY99" s="298"/>
      <c r="CZ99" s="299"/>
      <c r="DA99" s="274" t="s">
        <v>206</v>
      </c>
      <c r="DB99" s="275"/>
      <c r="DC99" s="275">
        <f t="shared" si="4"/>
        <v>2995</v>
      </c>
      <c r="DD99" s="275"/>
      <c r="DE99" s="275"/>
      <c r="DF99" s="275"/>
      <c r="DG99" s="275"/>
      <c r="DH99" s="275"/>
      <c r="DI99" s="276"/>
      <c r="DJ99" s="260" t="s">
        <v>305</v>
      </c>
      <c r="DK99" s="102"/>
      <c r="DL99" s="102"/>
      <c r="DM99" s="102"/>
      <c r="DN99" s="102"/>
      <c r="DO99" s="102"/>
      <c r="DP99" s="102"/>
      <c r="DQ99" s="102"/>
      <c r="DR99" s="102"/>
      <c r="DS99" s="102"/>
      <c r="DT99" s="340"/>
    </row>
    <row r="100" spans="1:124">
      <c r="A100" s="306" t="s">
        <v>403</v>
      </c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90"/>
      <c r="N100" s="309" t="s">
        <v>420</v>
      </c>
      <c r="O100" s="90"/>
      <c r="P100" s="90"/>
      <c r="Q100" s="90"/>
      <c r="R100" s="90"/>
      <c r="S100" s="90"/>
      <c r="T100" s="90"/>
      <c r="U100" s="91"/>
      <c r="V100" s="261">
        <v>1988</v>
      </c>
      <c r="W100" s="102"/>
      <c r="X100" s="102"/>
      <c r="Y100" s="102"/>
      <c r="Z100" s="102"/>
      <c r="AA100" s="103"/>
      <c r="AB100" s="291" t="s">
        <v>252</v>
      </c>
      <c r="AC100" s="295"/>
      <c r="AD100" s="295"/>
      <c r="AE100" s="295"/>
      <c r="AF100" s="296"/>
      <c r="AG100" s="262" t="s">
        <v>441</v>
      </c>
      <c r="AH100" s="314"/>
      <c r="AI100" s="314"/>
      <c r="AJ100" s="314"/>
      <c r="AK100" s="314"/>
      <c r="AL100" s="314"/>
      <c r="AM100" s="314"/>
      <c r="AN100" s="314"/>
      <c r="AO100" s="314"/>
      <c r="AP100" s="314"/>
      <c r="AQ100" s="314"/>
      <c r="AR100" s="314"/>
      <c r="AS100" s="314"/>
      <c r="AT100" s="314"/>
      <c r="AU100" s="314"/>
      <c r="AV100" s="366"/>
      <c r="AW100" s="262" t="s">
        <v>450</v>
      </c>
      <c r="AX100" s="90"/>
      <c r="AY100" s="90"/>
      <c r="AZ100" s="90"/>
      <c r="BA100" s="90"/>
      <c r="BB100" s="90"/>
      <c r="BC100" s="90"/>
      <c r="BD100" s="91"/>
      <c r="BE100" s="262" t="s">
        <v>452</v>
      </c>
      <c r="BF100" s="90"/>
      <c r="BG100" s="90"/>
      <c r="BH100" s="90"/>
      <c r="BI100" s="90"/>
      <c r="BJ100" s="90"/>
      <c r="BK100" s="90"/>
      <c r="BL100" s="91"/>
      <c r="BM100" s="262" t="s">
        <v>219</v>
      </c>
      <c r="BN100" s="90"/>
      <c r="BO100" s="90"/>
      <c r="BP100" s="90"/>
      <c r="BQ100" s="90"/>
      <c r="BR100" s="90"/>
      <c r="BS100" s="90"/>
      <c r="BT100" s="91"/>
      <c r="BU100" s="262" t="s">
        <v>220</v>
      </c>
      <c r="BV100" s="90"/>
      <c r="BW100" s="90"/>
      <c r="BX100" s="90"/>
      <c r="BY100" s="90"/>
      <c r="BZ100" s="90"/>
      <c r="CA100" s="90"/>
      <c r="CB100" s="91"/>
      <c r="CC100" s="284"/>
      <c r="CD100" s="90"/>
      <c r="CE100" s="90"/>
      <c r="CF100" s="90"/>
      <c r="CG100" s="90"/>
      <c r="CH100" s="90"/>
      <c r="CI100" s="90"/>
      <c r="CJ100" s="91"/>
      <c r="CK100" s="284">
        <v>604260</v>
      </c>
      <c r="CL100" s="90"/>
      <c r="CM100" s="90"/>
      <c r="CN100" s="90"/>
      <c r="CO100" s="90"/>
      <c r="CP100" s="90"/>
      <c r="CQ100" s="90"/>
      <c r="CR100" s="91"/>
      <c r="CS100" s="271" t="s">
        <v>206</v>
      </c>
      <c r="CT100" s="272"/>
      <c r="CU100" s="298">
        <v>28000</v>
      </c>
      <c r="CV100" s="298"/>
      <c r="CW100" s="298"/>
      <c r="CX100" s="298"/>
      <c r="CY100" s="298"/>
      <c r="CZ100" s="299"/>
      <c r="DA100" s="274" t="s">
        <v>206</v>
      </c>
      <c r="DB100" s="275"/>
      <c r="DC100" s="275">
        <f t="shared" si="4"/>
        <v>28000</v>
      </c>
      <c r="DD100" s="275"/>
      <c r="DE100" s="275"/>
      <c r="DF100" s="275"/>
      <c r="DG100" s="275"/>
      <c r="DH100" s="275"/>
      <c r="DI100" s="276"/>
      <c r="DJ100" s="260" t="s">
        <v>305</v>
      </c>
      <c r="DK100" s="102"/>
      <c r="DL100" s="102"/>
      <c r="DM100" s="102"/>
      <c r="DN100" s="102"/>
      <c r="DO100" s="102"/>
      <c r="DP100" s="102"/>
      <c r="DQ100" s="102"/>
      <c r="DR100" s="102"/>
      <c r="DS100" s="102"/>
      <c r="DT100" s="340"/>
    </row>
    <row r="101" spans="1:124">
      <c r="A101" s="304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309" t="s">
        <v>421</v>
      </c>
      <c r="O101" s="90"/>
      <c r="P101" s="90"/>
      <c r="Q101" s="90"/>
      <c r="R101" s="90"/>
      <c r="S101" s="90"/>
      <c r="T101" s="90"/>
      <c r="U101" s="91"/>
      <c r="V101" s="261">
        <v>1988</v>
      </c>
      <c r="W101" s="102"/>
      <c r="X101" s="102"/>
      <c r="Y101" s="102"/>
      <c r="Z101" s="102"/>
      <c r="AA101" s="103"/>
      <c r="AB101" s="291" t="s">
        <v>252</v>
      </c>
      <c r="AC101" s="295"/>
      <c r="AD101" s="295"/>
      <c r="AE101" s="295"/>
      <c r="AF101" s="296"/>
      <c r="AG101" s="262" t="s">
        <v>442</v>
      </c>
      <c r="AH101" s="314"/>
      <c r="AI101" s="314"/>
      <c r="AJ101" s="314"/>
      <c r="AK101" s="314"/>
      <c r="AL101" s="314"/>
      <c r="AM101" s="314"/>
      <c r="AN101" s="314"/>
      <c r="AO101" s="314"/>
      <c r="AP101" s="314"/>
      <c r="AQ101" s="314"/>
      <c r="AR101" s="314"/>
      <c r="AS101" s="314"/>
      <c r="AT101" s="314"/>
      <c r="AU101" s="314"/>
      <c r="AV101" s="366"/>
      <c r="AW101" s="284"/>
      <c r="AX101" s="90"/>
      <c r="AY101" s="90"/>
      <c r="AZ101" s="90"/>
      <c r="BA101" s="90"/>
      <c r="BB101" s="90"/>
      <c r="BC101" s="90"/>
      <c r="BD101" s="91"/>
      <c r="BE101" s="370" t="s">
        <v>453</v>
      </c>
      <c r="BF101" s="371"/>
      <c r="BG101" s="371"/>
      <c r="BH101" s="371"/>
      <c r="BI101" s="371"/>
      <c r="BJ101" s="371"/>
      <c r="BK101" s="371"/>
      <c r="BL101" s="372"/>
      <c r="BM101" s="262"/>
      <c r="BN101" s="90"/>
      <c r="BO101" s="90"/>
      <c r="BP101" s="90"/>
      <c r="BQ101" s="90"/>
      <c r="BR101" s="90"/>
      <c r="BS101" s="90"/>
      <c r="BT101" s="91"/>
      <c r="BU101" s="262"/>
      <c r="BV101" s="90"/>
      <c r="BW101" s="90"/>
      <c r="BX101" s="90"/>
      <c r="BY101" s="90"/>
      <c r="BZ101" s="90"/>
      <c r="CA101" s="90"/>
      <c r="CB101" s="91"/>
      <c r="CC101" s="284"/>
      <c r="CD101" s="90"/>
      <c r="CE101" s="90"/>
      <c r="CF101" s="90"/>
      <c r="CG101" s="90"/>
      <c r="CH101" s="90"/>
      <c r="CI101" s="90"/>
      <c r="CJ101" s="91"/>
      <c r="CK101" s="284"/>
      <c r="CL101" s="90"/>
      <c r="CM101" s="90"/>
      <c r="CN101" s="90"/>
      <c r="CO101" s="90"/>
      <c r="CP101" s="90"/>
      <c r="CQ101" s="90"/>
      <c r="CR101" s="91"/>
      <c r="CS101" s="271"/>
      <c r="CT101" s="272"/>
      <c r="CU101" s="298"/>
      <c r="CV101" s="298"/>
      <c r="CW101" s="298"/>
      <c r="CX101" s="298"/>
      <c r="CY101" s="298"/>
      <c r="CZ101" s="299"/>
      <c r="DA101" s="274"/>
      <c r="DB101" s="275"/>
      <c r="DC101" s="275"/>
      <c r="DD101" s="275"/>
      <c r="DE101" s="275"/>
      <c r="DF101" s="275"/>
      <c r="DG101" s="275"/>
      <c r="DH101" s="275"/>
      <c r="DI101" s="276"/>
      <c r="DJ101" s="262"/>
      <c r="DK101" s="90"/>
      <c r="DL101" s="90"/>
      <c r="DM101" s="90"/>
      <c r="DN101" s="90"/>
      <c r="DO101" s="90"/>
      <c r="DP101" s="90"/>
      <c r="DQ101" s="90"/>
      <c r="DR101" s="90"/>
      <c r="DS101" s="90"/>
      <c r="DT101" s="263"/>
    </row>
    <row r="102" spans="1:124">
      <c r="A102" s="304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309" t="s">
        <v>422</v>
      </c>
      <c r="O102" s="90"/>
      <c r="P102" s="90"/>
      <c r="Q102" s="90"/>
      <c r="R102" s="90"/>
      <c r="S102" s="90"/>
      <c r="T102" s="90"/>
      <c r="U102" s="91"/>
      <c r="V102" s="297">
        <v>38494</v>
      </c>
      <c r="W102" s="102"/>
      <c r="X102" s="102"/>
      <c r="Y102" s="102"/>
      <c r="Z102" s="102"/>
      <c r="AA102" s="103"/>
      <c r="AB102" s="312" t="s">
        <v>252</v>
      </c>
      <c r="AC102" s="313"/>
      <c r="AD102" s="313"/>
      <c r="AE102" s="313"/>
      <c r="AF102" s="313"/>
      <c r="AG102" s="262" t="s">
        <v>443</v>
      </c>
      <c r="AH102" s="314"/>
      <c r="AI102" s="314"/>
      <c r="AJ102" s="314"/>
      <c r="AK102" s="314"/>
      <c r="AL102" s="314"/>
      <c r="AM102" s="314"/>
      <c r="AN102" s="314"/>
      <c r="AO102" s="314"/>
      <c r="AP102" s="314"/>
      <c r="AQ102" s="314"/>
      <c r="AR102" s="314"/>
      <c r="AS102" s="314"/>
      <c r="AT102" s="314"/>
      <c r="AU102" s="314"/>
      <c r="AV102" s="366"/>
      <c r="AW102" s="286"/>
      <c r="AX102" s="286"/>
      <c r="AY102" s="286"/>
      <c r="AZ102" s="286"/>
      <c r="BA102" s="286"/>
      <c r="BB102" s="286"/>
      <c r="BC102" s="286"/>
      <c r="BD102" s="286"/>
      <c r="BE102" s="286"/>
      <c r="BF102" s="286"/>
      <c r="BG102" s="286"/>
      <c r="BH102" s="286"/>
      <c r="BI102" s="286"/>
      <c r="BJ102" s="286"/>
      <c r="BK102" s="286"/>
      <c r="BL102" s="286"/>
      <c r="BM102" s="367" t="s">
        <v>458</v>
      </c>
      <c r="BN102" s="368"/>
      <c r="BO102" s="368"/>
      <c r="BP102" s="368"/>
      <c r="BQ102" s="368"/>
      <c r="BR102" s="368"/>
      <c r="BS102" s="368"/>
      <c r="BT102" s="369"/>
      <c r="BU102" s="262"/>
      <c r="BV102" s="90"/>
      <c r="BW102" s="90"/>
      <c r="BX102" s="90"/>
      <c r="BY102" s="90"/>
      <c r="BZ102" s="90"/>
      <c r="CA102" s="90"/>
      <c r="CB102" s="91"/>
      <c r="CC102" s="286"/>
      <c r="CD102" s="286"/>
      <c r="CE102" s="286"/>
      <c r="CF102" s="286"/>
      <c r="CG102" s="286"/>
      <c r="CH102" s="286"/>
      <c r="CI102" s="286"/>
      <c r="CJ102" s="286"/>
      <c r="CK102" s="286"/>
      <c r="CL102" s="286"/>
      <c r="CM102" s="286"/>
      <c r="CN102" s="286"/>
      <c r="CO102" s="286"/>
      <c r="CP102" s="286"/>
      <c r="CQ102" s="286"/>
      <c r="CR102" s="286"/>
      <c r="CS102" s="271" t="s">
        <v>206</v>
      </c>
      <c r="CT102" s="272"/>
      <c r="CU102" s="298">
        <v>4050</v>
      </c>
      <c r="CV102" s="298"/>
      <c r="CW102" s="298"/>
      <c r="CX102" s="298"/>
      <c r="CY102" s="298"/>
      <c r="CZ102" s="299"/>
      <c r="DA102" s="274" t="s">
        <v>206</v>
      </c>
      <c r="DB102" s="275"/>
      <c r="DC102" s="275">
        <f t="shared" si="4"/>
        <v>4050</v>
      </c>
      <c r="DD102" s="275"/>
      <c r="DE102" s="275"/>
      <c r="DF102" s="275"/>
      <c r="DG102" s="275"/>
      <c r="DH102" s="275"/>
      <c r="DI102" s="276"/>
      <c r="DJ102" s="260" t="s">
        <v>305</v>
      </c>
      <c r="DK102" s="102"/>
      <c r="DL102" s="102"/>
      <c r="DM102" s="102"/>
      <c r="DN102" s="102"/>
      <c r="DO102" s="102"/>
      <c r="DP102" s="102"/>
      <c r="DQ102" s="102"/>
      <c r="DR102" s="102"/>
      <c r="DS102" s="102"/>
      <c r="DT102" s="340"/>
    </row>
    <row r="103" spans="1:124">
      <c r="A103" s="304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309" t="s">
        <v>423</v>
      </c>
      <c r="O103" s="90"/>
      <c r="P103" s="90"/>
      <c r="Q103" s="90"/>
      <c r="R103" s="90"/>
      <c r="S103" s="90"/>
      <c r="T103" s="90"/>
      <c r="U103" s="91"/>
      <c r="V103" s="297">
        <v>38540</v>
      </c>
      <c r="W103" s="102"/>
      <c r="X103" s="102"/>
      <c r="Y103" s="102"/>
      <c r="Z103" s="102"/>
      <c r="AA103" s="103"/>
      <c r="AB103" s="312" t="s">
        <v>252</v>
      </c>
      <c r="AC103" s="313"/>
      <c r="AD103" s="313"/>
      <c r="AE103" s="313"/>
      <c r="AF103" s="313"/>
      <c r="AG103" s="285" t="s">
        <v>445</v>
      </c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6"/>
      <c r="AU103" s="286"/>
      <c r="AV103" s="286"/>
      <c r="AW103" s="285" t="s">
        <v>276</v>
      </c>
      <c r="AX103" s="286"/>
      <c r="AY103" s="286"/>
      <c r="AZ103" s="286"/>
      <c r="BA103" s="286"/>
      <c r="BB103" s="286"/>
      <c r="BC103" s="286"/>
      <c r="BD103" s="286"/>
      <c r="BE103" s="285" t="s">
        <v>454</v>
      </c>
      <c r="BF103" s="286"/>
      <c r="BG103" s="286"/>
      <c r="BH103" s="286"/>
      <c r="BI103" s="286"/>
      <c r="BJ103" s="286"/>
      <c r="BK103" s="286"/>
      <c r="BL103" s="286"/>
      <c r="BM103" s="285" t="s">
        <v>286</v>
      </c>
      <c r="BN103" s="285"/>
      <c r="BO103" s="285"/>
      <c r="BP103" s="285"/>
      <c r="BQ103" s="285"/>
      <c r="BR103" s="285"/>
      <c r="BS103" s="285"/>
      <c r="BT103" s="285"/>
      <c r="BU103" s="262" t="s">
        <v>460</v>
      </c>
      <c r="BV103" s="90"/>
      <c r="BW103" s="90"/>
      <c r="BX103" s="90"/>
      <c r="BY103" s="90"/>
      <c r="BZ103" s="90"/>
      <c r="CA103" s="90"/>
      <c r="CB103" s="91"/>
      <c r="CC103" s="286"/>
      <c r="CD103" s="286"/>
      <c r="CE103" s="286"/>
      <c r="CF103" s="286"/>
      <c r="CG103" s="286"/>
      <c r="CH103" s="286"/>
      <c r="CI103" s="286"/>
      <c r="CJ103" s="286"/>
      <c r="CK103" s="286">
        <v>162501422</v>
      </c>
      <c r="CL103" s="286"/>
      <c r="CM103" s="286"/>
      <c r="CN103" s="286"/>
      <c r="CO103" s="286"/>
      <c r="CP103" s="286"/>
      <c r="CQ103" s="286"/>
      <c r="CR103" s="286"/>
      <c r="CS103" s="271" t="s">
        <v>206</v>
      </c>
      <c r="CT103" s="272"/>
      <c r="CU103" s="298">
        <v>1880</v>
      </c>
      <c r="CV103" s="298"/>
      <c r="CW103" s="298"/>
      <c r="CX103" s="298"/>
      <c r="CY103" s="298"/>
      <c r="CZ103" s="299"/>
      <c r="DA103" s="274" t="s">
        <v>206</v>
      </c>
      <c r="DB103" s="275"/>
      <c r="DC103" s="275">
        <f t="shared" si="4"/>
        <v>1880</v>
      </c>
      <c r="DD103" s="275"/>
      <c r="DE103" s="275"/>
      <c r="DF103" s="275"/>
      <c r="DG103" s="275"/>
      <c r="DH103" s="275"/>
      <c r="DI103" s="276"/>
      <c r="DJ103" s="260" t="s">
        <v>305</v>
      </c>
      <c r="DK103" s="102"/>
      <c r="DL103" s="102"/>
      <c r="DM103" s="102"/>
      <c r="DN103" s="102"/>
      <c r="DO103" s="102"/>
      <c r="DP103" s="102"/>
      <c r="DQ103" s="102"/>
      <c r="DR103" s="102"/>
      <c r="DS103" s="102"/>
      <c r="DT103" s="340"/>
    </row>
    <row r="104" spans="1:124">
      <c r="A104" s="288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90"/>
      <c r="N104" s="309" t="s">
        <v>424</v>
      </c>
      <c r="O104" s="90"/>
      <c r="P104" s="90"/>
      <c r="Q104" s="90"/>
      <c r="R104" s="90"/>
      <c r="S104" s="90"/>
      <c r="T104" s="90"/>
      <c r="U104" s="91"/>
      <c r="V104" s="297">
        <v>38540</v>
      </c>
      <c r="W104" s="102"/>
      <c r="X104" s="102"/>
      <c r="Y104" s="102"/>
      <c r="Z104" s="102"/>
      <c r="AA104" s="103"/>
      <c r="AB104" s="291" t="s">
        <v>252</v>
      </c>
      <c r="AC104" s="295"/>
      <c r="AD104" s="295"/>
      <c r="AE104" s="295"/>
      <c r="AF104" s="296"/>
      <c r="AG104" s="262" t="s">
        <v>445</v>
      </c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1"/>
      <c r="AW104" s="262" t="s">
        <v>276</v>
      </c>
      <c r="AX104" s="90"/>
      <c r="AY104" s="90"/>
      <c r="AZ104" s="90"/>
      <c r="BA104" s="90"/>
      <c r="BB104" s="90"/>
      <c r="BC104" s="90"/>
      <c r="BD104" s="91"/>
      <c r="BE104" s="262" t="s">
        <v>455</v>
      </c>
      <c r="BF104" s="90"/>
      <c r="BG104" s="90"/>
      <c r="BH104" s="90"/>
      <c r="BI104" s="90"/>
      <c r="BJ104" s="90"/>
      <c r="BK104" s="90"/>
      <c r="BL104" s="91"/>
      <c r="BM104" s="285" t="s">
        <v>286</v>
      </c>
      <c r="BN104" s="286"/>
      <c r="BO104" s="286"/>
      <c r="BP104" s="286"/>
      <c r="BQ104" s="286"/>
      <c r="BR104" s="286"/>
      <c r="BS104" s="286"/>
      <c r="BT104" s="286"/>
      <c r="BU104" s="262" t="s">
        <v>292</v>
      </c>
      <c r="BV104" s="90"/>
      <c r="BW104" s="90"/>
      <c r="BX104" s="90"/>
      <c r="BY104" s="90"/>
      <c r="BZ104" s="90"/>
      <c r="CA104" s="90"/>
      <c r="CB104" s="91"/>
      <c r="CC104" s="284"/>
      <c r="CD104" s="90"/>
      <c r="CE104" s="90"/>
      <c r="CF104" s="90"/>
      <c r="CG104" s="90"/>
      <c r="CH104" s="90"/>
      <c r="CI104" s="90"/>
      <c r="CJ104" s="91"/>
      <c r="CK104" s="284">
        <v>182302894</v>
      </c>
      <c r="CL104" s="90"/>
      <c r="CM104" s="90"/>
      <c r="CN104" s="90"/>
      <c r="CO104" s="90"/>
      <c r="CP104" s="90"/>
      <c r="CQ104" s="90"/>
      <c r="CR104" s="91"/>
      <c r="CS104" s="271" t="s">
        <v>206</v>
      </c>
      <c r="CT104" s="272"/>
      <c r="CU104" s="298">
        <v>1880</v>
      </c>
      <c r="CV104" s="298"/>
      <c r="CW104" s="298"/>
      <c r="CX104" s="298"/>
      <c r="CY104" s="298"/>
      <c r="CZ104" s="299"/>
      <c r="DA104" s="274" t="s">
        <v>206</v>
      </c>
      <c r="DB104" s="275"/>
      <c r="DC104" s="275">
        <f t="shared" si="4"/>
        <v>1880</v>
      </c>
      <c r="DD104" s="275"/>
      <c r="DE104" s="275"/>
      <c r="DF104" s="275"/>
      <c r="DG104" s="275"/>
      <c r="DH104" s="275"/>
      <c r="DI104" s="276"/>
      <c r="DJ104" s="260" t="s">
        <v>305</v>
      </c>
      <c r="DK104" s="102"/>
      <c r="DL104" s="102"/>
      <c r="DM104" s="102"/>
      <c r="DN104" s="102"/>
      <c r="DO104" s="102"/>
      <c r="DP104" s="102"/>
      <c r="DQ104" s="102"/>
      <c r="DR104" s="102"/>
      <c r="DS104" s="102"/>
      <c r="DT104" s="340"/>
    </row>
    <row r="105" spans="1:124">
      <c r="A105" s="288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90"/>
      <c r="N105" s="309" t="s">
        <v>425</v>
      </c>
      <c r="O105" s="90"/>
      <c r="P105" s="90"/>
      <c r="Q105" s="90"/>
      <c r="R105" s="90"/>
      <c r="S105" s="90"/>
      <c r="T105" s="90"/>
      <c r="U105" s="91"/>
      <c r="V105" s="297">
        <v>42456</v>
      </c>
      <c r="W105" s="102"/>
      <c r="X105" s="102"/>
      <c r="Y105" s="102"/>
      <c r="Z105" s="102"/>
      <c r="AA105" s="103"/>
      <c r="AB105" s="291" t="s">
        <v>217</v>
      </c>
      <c r="AC105" s="295"/>
      <c r="AD105" s="295"/>
      <c r="AE105" s="295"/>
      <c r="AF105" s="296"/>
      <c r="AG105" s="262" t="s">
        <v>446</v>
      </c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1"/>
      <c r="AW105" s="262" t="s">
        <v>451</v>
      </c>
      <c r="AX105" s="90"/>
      <c r="AY105" s="90"/>
      <c r="AZ105" s="90"/>
      <c r="BA105" s="90"/>
      <c r="BB105" s="90"/>
      <c r="BC105" s="90"/>
      <c r="BD105" s="91"/>
      <c r="BE105" s="284"/>
      <c r="BF105" s="90"/>
      <c r="BG105" s="90"/>
      <c r="BH105" s="90"/>
      <c r="BI105" s="90"/>
      <c r="BJ105" s="90"/>
      <c r="BK105" s="90"/>
      <c r="BL105" s="91"/>
      <c r="BM105" s="262"/>
      <c r="BN105" s="90"/>
      <c r="BO105" s="90"/>
      <c r="BP105" s="90"/>
      <c r="BQ105" s="90"/>
      <c r="BR105" s="90"/>
      <c r="BS105" s="90"/>
      <c r="BT105" s="91"/>
      <c r="BU105" s="262"/>
      <c r="BV105" s="90"/>
      <c r="BW105" s="90"/>
      <c r="BX105" s="90"/>
      <c r="BY105" s="90"/>
      <c r="BZ105" s="90"/>
      <c r="CA105" s="90"/>
      <c r="CB105" s="91"/>
      <c r="CC105" s="262" t="s">
        <v>462</v>
      </c>
      <c r="CD105" s="90"/>
      <c r="CE105" s="90"/>
      <c r="CF105" s="90"/>
      <c r="CG105" s="90"/>
      <c r="CH105" s="90"/>
      <c r="CI105" s="90"/>
      <c r="CJ105" s="91"/>
      <c r="CK105" s="284"/>
      <c r="CL105" s="90"/>
      <c r="CM105" s="90"/>
      <c r="CN105" s="90"/>
      <c r="CO105" s="90"/>
      <c r="CP105" s="90"/>
      <c r="CQ105" s="90"/>
      <c r="CR105" s="91"/>
      <c r="CS105" s="271" t="s">
        <v>206</v>
      </c>
      <c r="CT105" s="272"/>
      <c r="CU105" s="298">
        <v>2350</v>
      </c>
      <c r="CV105" s="298"/>
      <c r="CW105" s="298"/>
      <c r="CX105" s="298"/>
      <c r="CY105" s="298"/>
      <c r="CZ105" s="299"/>
      <c r="DA105" s="274" t="s">
        <v>206</v>
      </c>
      <c r="DB105" s="275"/>
      <c r="DC105" s="275">
        <f t="shared" si="4"/>
        <v>4700</v>
      </c>
      <c r="DD105" s="275"/>
      <c r="DE105" s="275"/>
      <c r="DF105" s="275"/>
      <c r="DG105" s="275"/>
      <c r="DH105" s="275"/>
      <c r="DI105" s="276"/>
      <c r="DJ105" s="260" t="s">
        <v>305</v>
      </c>
      <c r="DK105" s="102"/>
      <c r="DL105" s="102"/>
      <c r="DM105" s="102"/>
      <c r="DN105" s="102"/>
      <c r="DO105" s="102"/>
      <c r="DP105" s="102"/>
      <c r="DQ105" s="102"/>
      <c r="DR105" s="102"/>
      <c r="DS105" s="102"/>
      <c r="DT105" s="340"/>
    </row>
    <row r="106" spans="1:124">
      <c r="A106" s="308" t="s">
        <v>404</v>
      </c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85"/>
      <c r="O106" s="286"/>
      <c r="P106" s="286"/>
      <c r="Q106" s="286"/>
      <c r="R106" s="286"/>
      <c r="S106" s="286"/>
      <c r="T106" s="286"/>
      <c r="U106" s="286"/>
      <c r="V106" s="261"/>
      <c r="W106" s="102"/>
      <c r="X106" s="102"/>
      <c r="Y106" s="102"/>
      <c r="Z106" s="102"/>
      <c r="AA106" s="103"/>
      <c r="AB106" s="312"/>
      <c r="AC106" s="313"/>
      <c r="AD106" s="313"/>
      <c r="AE106" s="313"/>
      <c r="AF106" s="313"/>
      <c r="AG106" s="357"/>
      <c r="AH106" s="358"/>
      <c r="AI106" s="358"/>
      <c r="AJ106" s="358"/>
      <c r="AK106" s="358"/>
      <c r="AL106" s="358"/>
      <c r="AM106" s="358"/>
      <c r="AN106" s="358"/>
      <c r="AO106" s="358"/>
      <c r="AP106" s="358"/>
      <c r="AQ106" s="358"/>
      <c r="AR106" s="358"/>
      <c r="AS106" s="358"/>
      <c r="AT106" s="358"/>
      <c r="AU106" s="358"/>
      <c r="AV106" s="359"/>
      <c r="AW106" s="286"/>
      <c r="AX106" s="286"/>
      <c r="AY106" s="286"/>
      <c r="AZ106" s="286"/>
      <c r="BA106" s="286"/>
      <c r="BB106" s="286"/>
      <c r="BC106" s="286"/>
      <c r="BD106" s="286"/>
      <c r="BE106" s="286"/>
      <c r="BF106" s="286"/>
      <c r="BG106" s="286"/>
      <c r="BH106" s="286"/>
      <c r="BI106" s="286"/>
      <c r="BJ106" s="286"/>
      <c r="BK106" s="286"/>
      <c r="BL106" s="286"/>
      <c r="BM106" s="262"/>
      <c r="BN106" s="90"/>
      <c r="BO106" s="90"/>
      <c r="BP106" s="90"/>
      <c r="BQ106" s="90"/>
      <c r="BR106" s="90"/>
      <c r="BS106" s="90"/>
      <c r="BT106" s="91"/>
      <c r="BU106" s="262"/>
      <c r="BV106" s="90"/>
      <c r="BW106" s="90"/>
      <c r="BX106" s="90"/>
      <c r="BY106" s="90"/>
      <c r="BZ106" s="90"/>
      <c r="CA106" s="90"/>
      <c r="CB106" s="91"/>
      <c r="CC106" s="286"/>
      <c r="CD106" s="286"/>
      <c r="CE106" s="286"/>
      <c r="CF106" s="286"/>
      <c r="CG106" s="286"/>
      <c r="CH106" s="286"/>
      <c r="CI106" s="286"/>
      <c r="CJ106" s="286"/>
      <c r="CK106" s="286"/>
      <c r="CL106" s="286"/>
      <c r="CM106" s="286"/>
      <c r="CN106" s="286"/>
      <c r="CO106" s="286"/>
      <c r="CP106" s="286"/>
      <c r="CQ106" s="286"/>
      <c r="CR106" s="286"/>
      <c r="CS106" s="271"/>
      <c r="CT106" s="272"/>
      <c r="CU106" s="298"/>
      <c r="CV106" s="298"/>
      <c r="CW106" s="298"/>
      <c r="CX106" s="298"/>
      <c r="CY106" s="298"/>
      <c r="CZ106" s="299"/>
      <c r="DA106" s="274"/>
      <c r="DB106" s="275"/>
      <c r="DC106" s="275"/>
      <c r="DD106" s="275"/>
      <c r="DE106" s="275"/>
      <c r="DF106" s="275"/>
      <c r="DG106" s="275"/>
      <c r="DH106" s="275"/>
      <c r="DI106" s="276"/>
      <c r="DJ106" s="262"/>
      <c r="DK106" s="90"/>
      <c r="DL106" s="90"/>
      <c r="DM106" s="90"/>
      <c r="DN106" s="90"/>
      <c r="DO106" s="90"/>
      <c r="DP106" s="90"/>
      <c r="DQ106" s="90"/>
      <c r="DR106" s="90"/>
      <c r="DS106" s="90"/>
      <c r="DT106" s="263"/>
    </row>
    <row r="107" spans="1:124">
      <c r="A107" s="306" t="s">
        <v>405</v>
      </c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90"/>
      <c r="N107" s="260" t="s">
        <v>426</v>
      </c>
      <c r="O107" s="102"/>
      <c r="P107" s="102"/>
      <c r="Q107" s="102"/>
      <c r="R107" s="102"/>
      <c r="S107" s="102"/>
      <c r="T107" s="102"/>
      <c r="U107" s="103"/>
      <c r="V107" s="261">
        <v>1988</v>
      </c>
      <c r="W107" s="102"/>
      <c r="X107" s="102"/>
      <c r="Y107" s="102"/>
      <c r="Z107" s="102"/>
      <c r="AA107" s="103"/>
      <c r="AB107" s="291" t="s">
        <v>252</v>
      </c>
      <c r="AC107" s="295"/>
      <c r="AD107" s="295"/>
      <c r="AE107" s="295"/>
      <c r="AF107" s="296"/>
      <c r="AG107" s="262" t="s">
        <v>447</v>
      </c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1"/>
      <c r="AW107" s="284"/>
      <c r="AX107" s="90"/>
      <c r="AY107" s="90"/>
      <c r="AZ107" s="90"/>
      <c r="BA107" s="90"/>
      <c r="BB107" s="90"/>
      <c r="BC107" s="90"/>
      <c r="BD107" s="91"/>
      <c r="BE107" s="284"/>
      <c r="BF107" s="90"/>
      <c r="BG107" s="90"/>
      <c r="BH107" s="90"/>
      <c r="BI107" s="90"/>
      <c r="BJ107" s="90"/>
      <c r="BK107" s="90"/>
      <c r="BL107" s="91"/>
      <c r="BM107" s="285" t="s">
        <v>285</v>
      </c>
      <c r="BN107" s="286"/>
      <c r="BO107" s="286"/>
      <c r="BP107" s="286"/>
      <c r="BQ107" s="286"/>
      <c r="BR107" s="286"/>
      <c r="BS107" s="286"/>
      <c r="BT107" s="286"/>
      <c r="BU107" s="262"/>
      <c r="BV107" s="90"/>
      <c r="BW107" s="90"/>
      <c r="BX107" s="90"/>
      <c r="BY107" s="90"/>
      <c r="BZ107" s="90"/>
      <c r="CA107" s="90"/>
      <c r="CB107" s="91"/>
      <c r="CC107" s="262" t="s">
        <v>463</v>
      </c>
      <c r="CD107" s="90"/>
      <c r="CE107" s="90"/>
      <c r="CF107" s="90"/>
      <c r="CG107" s="90"/>
      <c r="CH107" s="90"/>
      <c r="CI107" s="90"/>
      <c r="CJ107" s="91"/>
      <c r="CK107" s="284"/>
      <c r="CL107" s="90"/>
      <c r="CM107" s="90"/>
      <c r="CN107" s="90"/>
      <c r="CO107" s="90"/>
      <c r="CP107" s="90"/>
      <c r="CQ107" s="90"/>
      <c r="CR107" s="91"/>
      <c r="CS107" s="271" t="s">
        <v>206</v>
      </c>
      <c r="CT107" s="272"/>
      <c r="CU107" s="298">
        <v>881.25</v>
      </c>
      <c r="CV107" s="298"/>
      <c r="CW107" s="298"/>
      <c r="CX107" s="298"/>
      <c r="CY107" s="298"/>
      <c r="CZ107" s="299"/>
      <c r="DA107" s="274" t="s">
        <v>206</v>
      </c>
      <c r="DB107" s="275"/>
      <c r="DC107" s="275">
        <f t="shared" si="4"/>
        <v>881.25</v>
      </c>
      <c r="DD107" s="275"/>
      <c r="DE107" s="275"/>
      <c r="DF107" s="275"/>
      <c r="DG107" s="275"/>
      <c r="DH107" s="275"/>
      <c r="DI107" s="276"/>
      <c r="DJ107" s="260" t="s">
        <v>305</v>
      </c>
      <c r="DK107" s="102"/>
      <c r="DL107" s="102"/>
      <c r="DM107" s="102"/>
      <c r="DN107" s="102"/>
      <c r="DO107" s="102"/>
      <c r="DP107" s="102"/>
      <c r="DQ107" s="102"/>
      <c r="DR107" s="102"/>
      <c r="DS107" s="102"/>
      <c r="DT107" s="340"/>
    </row>
    <row r="108" spans="1:124">
      <c r="A108" s="306" t="s">
        <v>406</v>
      </c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90"/>
      <c r="N108" s="262" t="s">
        <v>427</v>
      </c>
      <c r="O108" s="90"/>
      <c r="P108" s="90"/>
      <c r="Q108" s="90"/>
      <c r="R108" s="90"/>
      <c r="S108" s="90"/>
      <c r="T108" s="90"/>
      <c r="U108" s="91"/>
      <c r="V108" s="261">
        <v>1988</v>
      </c>
      <c r="W108" s="102"/>
      <c r="X108" s="102"/>
      <c r="Y108" s="102"/>
      <c r="Z108" s="102"/>
      <c r="AA108" s="103"/>
      <c r="AB108" s="291" t="s">
        <v>252</v>
      </c>
      <c r="AC108" s="295"/>
      <c r="AD108" s="295"/>
      <c r="AE108" s="295"/>
      <c r="AF108" s="296"/>
      <c r="AG108" s="262" t="s">
        <v>447</v>
      </c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1"/>
      <c r="AW108" s="262"/>
      <c r="AX108" s="90"/>
      <c r="AY108" s="90"/>
      <c r="AZ108" s="90"/>
      <c r="BA108" s="90"/>
      <c r="BB108" s="90"/>
      <c r="BC108" s="90"/>
      <c r="BD108" s="91"/>
      <c r="BE108" s="262"/>
      <c r="BF108" s="90"/>
      <c r="BG108" s="90"/>
      <c r="BH108" s="90"/>
      <c r="BI108" s="90"/>
      <c r="BJ108" s="90"/>
      <c r="BK108" s="90"/>
      <c r="BL108" s="91"/>
      <c r="BM108" s="262" t="s">
        <v>285</v>
      </c>
      <c r="BN108" s="90"/>
      <c r="BO108" s="90"/>
      <c r="BP108" s="90"/>
      <c r="BQ108" s="90"/>
      <c r="BR108" s="90"/>
      <c r="BS108" s="90"/>
      <c r="BT108" s="91"/>
      <c r="BU108" s="262"/>
      <c r="BV108" s="90"/>
      <c r="BW108" s="90"/>
      <c r="BX108" s="90"/>
      <c r="BY108" s="90"/>
      <c r="BZ108" s="90"/>
      <c r="CA108" s="90"/>
      <c r="CB108" s="91"/>
      <c r="CC108" s="262" t="s">
        <v>463</v>
      </c>
      <c r="CD108" s="90"/>
      <c r="CE108" s="90"/>
      <c r="CF108" s="90"/>
      <c r="CG108" s="90"/>
      <c r="CH108" s="90"/>
      <c r="CI108" s="90"/>
      <c r="CJ108" s="91"/>
      <c r="CK108" s="262"/>
      <c r="CL108" s="90"/>
      <c r="CM108" s="90"/>
      <c r="CN108" s="90"/>
      <c r="CO108" s="90"/>
      <c r="CP108" s="90"/>
      <c r="CQ108" s="90"/>
      <c r="CR108" s="91"/>
      <c r="CS108" s="271" t="s">
        <v>206</v>
      </c>
      <c r="CT108" s="272"/>
      <c r="CU108" s="298">
        <v>881.25</v>
      </c>
      <c r="CV108" s="298"/>
      <c r="CW108" s="298"/>
      <c r="CX108" s="298"/>
      <c r="CY108" s="298"/>
      <c r="CZ108" s="299"/>
      <c r="DA108" s="274" t="s">
        <v>206</v>
      </c>
      <c r="DB108" s="275"/>
      <c r="DC108" s="275">
        <f t="shared" si="4"/>
        <v>881.25</v>
      </c>
      <c r="DD108" s="275"/>
      <c r="DE108" s="275"/>
      <c r="DF108" s="275"/>
      <c r="DG108" s="275"/>
      <c r="DH108" s="275"/>
      <c r="DI108" s="276"/>
      <c r="DJ108" s="260" t="s">
        <v>305</v>
      </c>
      <c r="DK108" s="102"/>
      <c r="DL108" s="102"/>
      <c r="DM108" s="102"/>
      <c r="DN108" s="102"/>
      <c r="DO108" s="102"/>
      <c r="DP108" s="102"/>
      <c r="DQ108" s="102"/>
      <c r="DR108" s="102"/>
      <c r="DS108" s="102"/>
      <c r="DT108" s="340"/>
    </row>
    <row r="109" spans="1:124">
      <c r="A109" s="306" t="s">
        <v>407</v>
      </c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90"/>
      <c r="N109" s="262" t="s">
        <v>428</v>
      </c>
      <c r="O109" s="90"/>
      <c r="P109" s="90"/>
      <c r="Q109" s="90"/>
      <c r="R109" s="90"/>
      <c r="S109" s="90"/>
      <c r="T109" s="90"/>
      <c r="U109" s="91"/>
      <c r="V109" s="261">
        <v>1988</v>
      </c>
      <c r="W109" s="102"/>
      <c r="X109" s="102"/>
      <c r="Y109" s="102"/>
      <c r="Z109" s="102"/>
      <c r="AA109" s="103"/>
      <c r="AB109" s="291" t="s">
        <v>252</v>
      </c>
      <c r="AC109" s="295"/>
      <c r="AD109" s="295"/>
      <c r="AE109" s="295"/>
      <c r="AF109" s="296"/>
      <c r="AG109" s="262" t="s">
        <v>447</v>
      </c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1"/>
      <c r="AW109" s="262"/>
      <c r="AX109" s="90"/>
      <c r="AY109" s="90"/>
      <c r="AZ109" s="90"/>
      <c r="BA109" s="90"/>
      <c r="BB109" s="90"/>
      <c r="BC109" s="90"/>
      <c r="BD109" s="91"/>
      <c r="BE109" s="262"/>
      <c r="BF109" s="90"/>
      <c r="BG109" s="90"/>
      <c r="BH109" s="90"/>
      <c r="BI109" s="90"/>
      <c r="BJ109" s="90"/>
      <c r="BK109" s="90"/>
      <c r="BL109" s="91"/>
      <c r="BM109" s="262" t="s">
        <v>285</v>
      </c>
      <c r="BN109" s="90"/>
      <c r="BO109" s="90"/>
      <c r="BP109" s="90"/>
      <c r="BQ109" s="90"/>
      <c r="BR109" s="90"/>
      <c r="BS109" s="90"/>
      <c r="BT109" s="91"/>
      <c r="BU109" s="262"/>
      <c r="BV109" s="90"/>
      <c r="BW109" s="90"/>
      <c r="BX109" s="90"/>
      <c r="BY109" s="90"/>
      <c r="BZ109" s="90"/>
      <c r="CA109" s="90"/>
      <c r="CB109" s="91"/>
      <c r="CC109" s="262" t="s">
        <v>463</v>
      </c>
      <c r="CD109" s="90"/>
      <c r="CE109" s="90"/>
      <c r="CF109" s="90"/>
      <c r="CG109" s="90"/>
      <c r="CH109" s="90"/>
      <c r="CI109" s="90"/>
      <c r="CJ109" s="91"/>
      <c r="CK109" s="262"/>
      <c r="CL109" s="90"/>
      <c r="CM109" s="90"/>
      <c r="CN109" s="90"/>
      <c r="CO109" s="90"/>
      <c r="CP109" s="90"/>
      <c r="CQ109" s="90"/>
      <c r="CR109" s="91"/>
      <c r="CS109" s="271" t="s">
        <v>206</v>
      </c>
      <c r="CT109" s="272"/>
      <c r="CU109" s="298">
        <v>881.25</v>
      </c>
      <c r="CV109" s="298"/>
      <c r="CW109" s="298"/>
      <c r="CX109" s="298"/>
      <c r="CY109" s="298"/>
      <c r="CZ109" s="299"/>
      <c r="DA109" s="274" t="s">
        <v>206</v>
      </c>
      <c r="DB109" s="275"/>
      <c r="DC109" s="275">
        <f t="shared" si="4"/>
        <v>881.25</v>
      </c>
      <c r="DD109" s="275"/>
      <c r="DE109" s="275"/>
      <c r="DF109" s="275"/>
      <c r="DG109" s="275"/>
      <c r="DH109" s="275"/>
      <c r="DI109" s="276"/>
      <c r="DJ109" s="260" t="s">
        <v>305</v>
      </c>
      <c r="DK109" s="102"/>
      <c r="DL109" s="102"/>
      <c r="DM109" s="102"/>
      <c r="DN109" s="102"/>
      <c r="DO109" s="102"/>
      <c r="DP109" s="102"/>
      <c r="DQ109" s="102"/>
      <c r="DR109" s="102"/>
      <c r="DS109" s="102"/>
      <c r="DT109" s="340"/>
    </row>
    <row r="110" spans="1:124">
      <c r="A110" s="308" t="s">
        <v>408</v>
      </c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85" t="s">
        <v>429</v>
      </c>
      <c r="O110" s="286"/>
      <c r="P110" s="286"/>
      <c r="Q110" s="286"/>
      <c r="R110" s="286"/>
      <c r="S110" s="286"/>
      <c r="T110" s="286"/>
      <c r="U110" s="286"/>
      <c r="V110" s="261">
        <v>1988</v>
      </c>
      <c r="W110" s="102"/>
      <c r="X110" s="102"/>
      <c r="Y110" s="102"/>
      <c r="Z110" s="102"/>
      <c r="AA110" s="103"/>
      <c r="AB110" s="312" t="s">
        <v>252</v>
      </c>
      <c r="AC110" s="313"/>
      <c r="AD110" s="313"/>
      <c r="AE110" s="313"/>
      <c r="AF110" s="313"/>
      <c r="AG110" s="262" t="s">
        <v>447</v>
      </c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1"/>
      <c r="AW110" s="285"/>
      <c r="AX110" s="286"/>
      <c r="AY110" s="286"/>
      <c r="AZ110" s="286"/>
      <c r="BA110" s="286"/>
      <c r="BB110" s="286"/>
      <c r="BC110" s="286"/>
      <c r="BD110" s="286"/>
      <c r="BE110" s="285"/>
      <c r="BF110" s="286"/>
      <c r="BG110" s="286"/>
      <c r="BH110" s="286"/>
      <c r="BI110" s="286"/>
      <c r="BJ110" s="286"/>
      <c r="BK110" s="286"/>
      <c r="BL110" s="286"/>
      <c r="BM110" s="262" t="s">
        <v>285</v>
      </c>
      <c r="BN110" s="90"/>
      <c r="BO110" s="90"/>
      <c r="BP110" s="90"/>
      <c r="BQ110" s="90"/>
      <c r="BR110" s="90"/>
      <c r="BS110" s="90"/>
      <c r="BT110" s="91"/>
      <c r="BU110" s="262"/>
      <c r="BV110" s="90"/>
      <c r="BW110" s="90"/>
      <c r="BX110" s="90"/>
      <c r="BY110" s="90"/>
      <c r="BZ110" s="90"/>
      <c r="CA110" s="90"/>
      <c r="CB110" s="91"/>
      <c r="CC110" s="262" t="s">
        <v>463</v>
      </c>
      <c r="CD110" s="90"/>
      <c r="CE110" s="90"/>
      <c r="CF110" s="90"/>
      <c r="CG110" s="90"/>
      <c r="CH110" s="90"/>
      <c r="CI110" s="90"/>
      <c r="CJ110" s="91"/>
      <c r="CK110" s="262"/>
      <c r="CL110" s="90"/>
      <c r="CM110" s="90"/>
      <c r="CN110" s="90"/>
      <c r="CO110" s="90"/>
      <c r="CP110" s="90"/>
      <c r="CQ110" s="90"/>
      <c r="CR110" s="91"/>
      <c r="CS110" s="271" t="s">
        <v>206</v>
      </c>
      <c r="CT110" s="272"/>
      <c r="CU110" s="298">
        <v>881.25</v>
      </c>
      <c r="CV110" s="298"/>
      <c r="CW110" s="298"/>
      <c r="CX110" s="298"/>
      <c r="CY110" s="298"/>
      <c r="CZ110" s="299"/>
      <c r="DA110" s="274" t="s">
        <v>206</v>
      </c>
      <c r="DB110" s="275"/>
      <c r="DC110" s="275">
        <f t="shared" si="4"/>
        <v>881.25</v>
      </c>
      <c r="DD110" s="275"/>
      <c r="DE110" s="275"/>
      <c r="DF110" s="275"/>
      <c r="DG110" s="275"/>
      <c r="DH110" s="275"/>
      <c r="DI110" s="276"/>
      <c r="DJ110" s="260" t="s">
        <v>305</v>
      </c>
      <c r="DK110" s="102"/>
      <c r="DL110" s="102"/>
      <c r="DM110" s="102"/>
      <c r="DN110" s="102"/>
      <c r="DO110" s="102"/>
      <c r="DP110" s="102"/>
      <c r="DQ110" s="102"/>
      <c r="DR110" s="102"/>
      <c r="DS110" s="102"/>
      <c r="DT110" s="340"/>
    </row>
    <row r="111" spans="1:124">
      <c r="A111" s="308" t="s">
        <v>409</v>
      </c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85"/>
      <c r="O111" s="286"/>
      <c r="P111" s="286"/>
      <c r="Q111" s="286"/>
      <c r="R111" s="286"/>
      <c r="S111" s="286"/>
      <c r="T111" s="286"/>
      <c r="U111" s="286"/>
      <c r="V111" s="297"/>
      <c r="W111" s="102"/>
      <c r="X111" s="102"/>
      <c r="Y111" s="102"/>
      <c r="Z111" s="102"/>
      <c r="AA111" s="103"/>
      <c r="AB111" s="312"/>
      <c r="AC111" s="313"/>
      <c r="AD111" s="313"/>
      <c r="AE111" s="313"/>
      <c r="AF111" s="313"/>
      <c r="AG111" s="285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6"/>
      <c r="AU111" s="286"/>
      <c r="AV111" s="286"/>
      <c r="AW111" s="286"/>
      <c r="AX111" s="286"/>
      <c r="AY111" s="286"/>
      <c r="AZ111" s="286"/>
      <c r="BA111" s="286"/>
      <c r="BB111" s="286"/>
      <c r="BC111" s="286"/>
      <c r="BD111" s="286"/>
      <c r="BE111" s="286"/>
      <c r="BF111" s="286"/>
      <c r="BG111" s="286"/>
      <c r="BH111" s="286"/>
      <c r="BI111" s="286"/>
      <c r="BJ111" s="286"/>
      <c r="BK111" s="286"/>
      <c r="BL111" s="286"/>
      <c r="BM111" s="285"/>
      <c r="BN111" s="286"/>
      <c r="BO111" s="286"/>
      <c r="BP111" s="286"/>
      <c r="BQ111" s="286"/>
      <c r="BR111" s="286"/>
      <c r="BS111" s="286"/>
      <c r="BT111" s="286"/>
      <c r="BU111" s="262"/>
      <c r="BV111" s="90"/>
      <c r="BW111" s="90"/>
      <c r="BX111" s="90"/>
      <c r="BY111" s="90"/>
      <c r="BZ111" s="90"/>
      <c r="CA111" s="90"/>
      <c r="CB111" s="91"/>
      <c r="CC111" s="286"/>
      <c r="CD111" s="286"/>
      <c r="CE111" s="286"/>
      <c r="CF111" s="286"/>
      <c r="CG111" s="286"/>
      <c r="CH111" s="286"/>
      <c r="CI111" s="286"/>
      <c r="CJ111" s="286"/>
      <c r="CK111" s="286"/>
      <c r="CL111" s="286"/>
      <c r="CM111" s="286"/>
      <c r="CN111" s="286"/>
      <c r="CO111" s="286"/>
      <c r="CP111" s="286"/>
      <c r="CQ111" s="286"/>
      <c r="CR111" s="286"/>
      <c r="CS111" s="271"/>
      <c r="CT111" s="272"/>
      <c r="CU111" s="298"/>
      <c r="CV111" s="298"/>
      <c r="CW111" s="298"/>
      <c r="CX111" s="298"/>
      <c r="CY111" s="298"/>
      <c r="CZ111" s="299"/>
      <c r="DA111" s="274"/>
      <c r="DB111" s="275"/>
      <c r="DC111" s="275"/>
      <c r="DD111" s="275"/>
      <c r="DE111" s="275"/>
      <c r="DF111" s="275"/>
      <c r="DG111" s="275"/>
      <c r="DH111" s="275"/>
      <c r="DI111" s="276"/>
      <c r="DJ111" s="285"/>
      <c r="DK111" s="286"/>
      <c r="DL111" s="286"/>
      <c r="DM111" s="286"/>
      <c r="DN111" s="286"/>
      <c r="DO111" s="286"/>
      <c r="DP111" s="286"/>
      <c r="DQ111" s="286"/>
      <c r="DR111" s="286"/>
      <c r="DS111" s="286"/>
      <c r="DT111" s="287"/>
    </row>
    <row r="112" spans="1:124">
      <c r="A112" s="304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85" t="s">
        <v>430</v>
      </c>
      <c r="O112" s="286"/>
      <c r="P112" s="286"/>
      <c r="Q112" s="286"/>
      <c r="R112" s="286"/>
      <c r="S112" s="286"/>
      <c r="T112" s="286"/>
      <c r="U112" s="286"/>
      <c r="V112" s="261">
        <v>1988</v>
      </c>
      <c r="W112" s="102"/>
      <c r="X112" s="102"/>
      <c r="Y112" s="102"/>
      <c r="Z112" s="102"/>
      <c r="AA112" s="103"/>
      <c r="AB112" s="312" t="s">
        <v>252</v>
      </c>
      <c r="AC112" s="313"/>
      <c r="AD112" s="313"/>
      <c r="AE112" s="313"/>
      <c r="AF112" s="313"/>
      <c r="AG112" s="285" t="s">
        <v>447</v>
      </c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6"/>
      <c r="AU112" s="286"/>
      <c r="AV112" s="286"/>
      <c r="AW112" s="286"/>
      <c r="AX112" s="286"/>
      <c r="AY112" s="286"/>
      <c r="AZ112" s="286"/>
      <c r="BA112" s="286"/>
      <c r="BB112" s="286"/>
      <c r="BC112" s="286"/>
      <c r="BD112" s="286"/>
      <c r="BE112" s="286"/>
      <c r="BF112" s="286"/>
      <c r="BG112" s="286"/>
      <c r="BH112" s="286"/>
      <c r="BI112" s="286"/>
      <c r="BJ112" s="286"/>
      <c r="BK112" s="286"/>
      <c r="BL112" s="286"/>
      <c r="BM112" s="285" t="s">
        <v>285</v>
      </c>
      <c r="BN112" s="286"/>
      <c r="BO112" s="286"/>
      <c r="BP112" s="286"/>
      <c r="BQ112" s="286"/>
      <c r="BR112" s="286"/>
      <c r="BS112" s="286"/>
      <c r="BT112" s="286"/>
      <c r="BU112" s="285"/>
      <c r="BV112" s="286"/>
      <c r="BW112" s="286"/>
      <c r="BX112" s="286"/>
      <c r="BY112" s="286"/>
      <c r="BZ112" s="286"/>
      <c r="CA112" s="286"/>
      <c r="CB112" s="286"/>
      <c r="CC112" s="285" t="s">
        <v>464</v>
      </c>
      <c r="CD112" s="286"/>
      <c r="CE112" s="286"/>
      <c r="CF112" s="286"/>
      <c r="CG112" s="286"/>
      <c r="CH112" s="286"/>
      <c r="CI112" s="286"/>
      <c r="CJ112" s="286"/>
      <c r="CK112" s="286"/>
      <c r="CL112" s="286"/>
      <c r="CM112" s="286"/>
      <c r="CN112" s="286"/>
      <c r="CO112" s="286"/>
      <c r="CP112" s="286"/>
      <c r="CQ112" s="286"/>
      <c r="CR112" s="286"/>
      <c r="CS112" s="271" t="s">
        <v>206</v>
      </c>
      <c r="CT112" s="272"/>
      <c r="CU112" s="298">
        <v>587.50300000000004</v>
      </c>
      <c r="CV112" s="298"/>
      <c r="CW112" s="298"/>
      <c r="CX112" s="298"/>
      <c r="CY112" s="298"/>
      <c r="CZ112" s="299"/>
      <c r="DA112" s="274" t="s">
        <v>206</v>
      </c>
      <c r="DB112" s="275"/>
      <c r="DC112" s="275">
        <f t="shared" si="4"/>
        <v>587.50300000000004</v>
      </c>
      <c r="DD112" s="275"/>
      <c r="DE112" s="275"/>
      <c r="DF112" s="275"/>
      <c r="DG112" s="275"/>
      <c r="DH112" s="275"/>
      <c r="DI112" s="276"/>
      <c r="DJ112" s="260" t="s">
        <v>305</v>
      </c>
      <c r="DK112" s="102"/>
      <c r="DL112" s="102"/>
      <c r="DM112" s="102"/>
      <c r="DN112" s="102"/>
      <c r="DO112" s="102"/>
      <c r="DP112" s="102"/>
      <c r="DQ112" s="102"/>
      <c r="DR112" s="102"/>
      <c r="DS112" s="102"/>
      <c r="DT112" s="340"/>
    </row>
    <row r="113" spans="1:124">
      <c r="A113" s="304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85" t="s">
        <v>431</v>
      </c>
      <c r="O113" s="286"/>
      <c r="P113" s="286"/>
      <c r="Q113" s="286"/>
      <c r="R113" s="286"/>
      <c r="S113" s="286"/>
      <c r="T113" s="286"/>
      <c r="U113" s="286"/>
      <c r="V113" s="261">
        <v>1988</v>
      </c>
      <c r="W113" s="102"/>
      <c r="X113" s="102"/>
      <c r="Y113" s="102"/>
      <c r="Z113" s="102"/>
      <c r="AA113" s="103"/>
      <c r="AB113" s="312" t="s">
        <v>252</v>
      </c>
      <c r="AC113" s="313"/>
      <c r="AD113" s="313"/>
      <c r="AE113" s="313"/>
      <c r="AF113" s="313"/>
      <c r="AG113" s="285" t="s">
        <v>447</v>
      </c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5"/>
      <c r="AX113" s="286"/>
      <c r="AY113" s="286"/>
      <c r="AZ113" s="286"/>
      <c r="BA113" s="286"/>
      <c r="BB113" s="286"/>
      <c r="BC113" s="286"/>
      <c r="BD113" s="286"/>
      <c r="BE113" s="286"/>
      <c r="BF113" s="286"/>
      <c r="BG113" s="286"/>
      <c r="BH113" s="286"/>
      <c r="BI113" s="286"/>
      <c r="BJ113" s="286"/>
      <c r="BK113" s="286"/>
      <c r="BL113" s="286"/>
      <c r="BM113" s="285" t="s">
        <v>285</v>
      </c>
      <c r="BN113" s="286"/>
      <c r="BO113" s="286"/>
      <c r="BP113" s="286"/>
      <c r="BQ113" s="286"/>
      <c r="BR113" s="286"/>
      <c r="BS113" s="286"/>
      <c r="BT113" s="286"/>
      <c r="BU113" s="285"/>
      <c r="BV113" s="286"/>
      <c r="BW113" s="286"/>
      <c r="BX113" s="286"/>
      <c r="BY113" s="286"/>
      <c r="BZ113" s="286"/>
      <c r="CA113" s="286"/>
      <c r="CB113" s="286"/>
      <c r="CC113" s="285" t="s">
        <v>464</v>
      </c>
      <c r="CD113" s="286"/>
      <c r="CE113" s="286"/>
      <c r="CF113" s="286"/>
      <c r="CG113" s="286"/>
      <c r="CH113" s="286"/>
      <c r="CI113" s="286"/>
      <c r="CJ113" s="286"/>
      <c r="CK113" s="286"/>
      <c r="CL113" s="286"/>
      <c r="CM113" s="286"/>
      <c r="CN113" s="286"/>
      <c r="CO113" s="286"/>
      <c r="CP113" s="286"/>
      <c r="CQ113" s="286"/>
      <c r="CR113" s="286"/>
      <c r="CS113" s="271" t="s">
        <v>206</v>
      </c>
      <c r="CT113" s="272"/>
      <c r="CU113" s="298">
        <v>587.5</v>
      </c>
      <c r="CV113" s="298"/>
      <c r="CW113" s="298"/>
      <c r="CX113" s="298"/>
      <c r="CY113" s="298"/>
      <c r="CZ113" s="299"/>
      <c r="DA113" s="274" t="s">
        <v>206</v>
      </c>
      <c r="DB113" s="275"/>
      <c r="DC113" s="275">
        <f t="shared" si="4"/>
        <v>587.5</v>
      </c>
      <c r="DD113" s="275"/>
      <c r="DE113" s="275"/>
      <c r="DF113" s="275"/>
      <c r="DG113" s="275"/>
      <c r="DH113" s="275"/>
      <c r="DI113" s="276"/>
      <c r="DJ113" s="260" t="s">
        <v>305</v>
      </c>
      <c r="DK113" s="102"/>
      <c r="DL113" s="102"/>
      <c r="DM113" s="102"/>
      <c r="DN113" s="102"/>
      <c r="DO113" s="102"/>
      <c r="DP113" s="102"/>
      <c r="DQ113" s="102"/>
      <c r="DR113" s="102"/>
      <c r="DS113" s="102"/>
      <c r="DT113" s="340"/>
    </row>
    <row r="114" spans="1:124">
      <c r="A114" s="308" t="s">
        <v>215</v>
      </c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85" t="s">
        <v>432</v>
      </c>
      <c r="O114" s="286"/>
      <c r="P114" s="286"/>
      <c r="Q114" s="286"/>
      <c r="R114" s="286"/>
      <c r="S114" s="286"/>
      <c r="T114" s="286"/>
      <c r="U114" s="286"/>
      <c r="V114" s="297">
        <v>34119</v>
      </c>
      <c r="W114" s="102"/>
      <c r="X114" s="102"/>
      <c r="Y114" s="102"/>
      <c r="Z114" s="102"/>
      <c r="AA114" s="103"/>
      <c r="AB114" s="312" t="s">
        <v>252</v>
      </c>
      <c r="AC114" s="313"/>
      <c r="AD114" s="313"/>
      <c r="AE114" s="313"/>
      <c r="AF114" s="313"/>
      <c r="AG114" s="285" t="s">
        <v>448</v>
      </c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5"/>
      <c r="AX114" s="286"/>
      <c r="AY114" s="286"/>
      <c r="AZ114" s="286"/>
      <c r="BA114" s="286"/>
      <c r="BB114" s="286"/>
      <c r="BC114" s="286"/>
      <c r="BD114" s="286"/>
      <c r="BE114" s="285"/>
      <c r="BF114" s="286"/>
      <c r="BG114" s="286"/>
      <c r="BH114" s="286"/>
      <c r="BI114" s="286"/>
      <c r="BJ114" s="286"/>
      <c r="BK114" s="286"/>
      <c r="BL114" s="286"/>
      <c r="BM114" s="285" t="s">
        <v>288</v>
      </c>
      <c r="BN114" s="286"/>
      <c r="BO114" s="286"/>
      <c r="BP114" s="286"/>
      <c r="BQ114" s="286"/>
      <c r="BR114" s="286"/>
      <c r="BS114" s="286"/>
      <c r="BT114" s="286"/>
      <c r="BU114" s="285" t="s">
        <v>297</v>
      </c>
      <c r="BV114" s="286"/>
      <c r="BW114" s="286"/>
      <c r="BX114" s="286"/>
      <c r="BY114" s="286"/>
      <c r="BZ114" s="286"/>
      <c r="CA114" s="286"/>
      <c r="CB114" s="286"/>
      <c r="CC114" s="286"/>
      <c r="CD114" s="286"/>
      <c r="CE114" s="286"/>
      <c r="CF114" s="286"/>
      <c r="CG114" s="286"/>
      <c r="CH114" s="286"/>
      <c r="CI114" s="286"/>
      <c r="CJ114" s="286"/>
      <c r="CK114" s="286"/>
      <c r="CL114" s="286"/>
      <c r="CM114" s="286"/>
      <c r="CN114" s="286"/>
      <c r="CO114" s="286"/>
      <c r="CP114" s="286"/>
      <c r="CQ114" s="286"/>
      <c r="CR114" s="286"/>
      <c r="CS114" s="271" t="s">
        <v>206</v>
      </c>
      <c r="CT114" s="272"/>
      <c r="CU114" s="298">
        <v>185</v>
      </c>
      <c r="CV114" s="298"/>
      <c r="CW114" s="298"/>
      <c r="CX114" s="298"/>
      <c r="CY114" s="298"/>
      <c r="CZ114" s="299"/>
      <c r="DA114" s="274" t="s">
        <v>206</v>
      </c>
      <c r="DB114" s="275"/>
      <c r="DC114" s="275">
        <f t="shared" si="4"/>
        <v>185</v>
      </c>
      <c r="DD114" s="275"/>
      <c r="DE114" s="275"/>
      <c r="DF114" s="275"/>
      <c r="DG114" s="275"/>
      <c r="DH114" s="275"/>
      <c r="DI114" s="276"/>
      <c r="DJ114" s="285" t="s">
        <v>304</v>
      </c>
      <c r="DK114" s="286"/>
      <c r="DL114" s="286"/>
      <c r="DM114" s="286"/>
      <c r="DN114" s="286"/>
      <c r="DO114" s="286"/>
      <c r="DP114" s="286"/>
      <c r="DQ114" s="286"/>
      <c r="DR114" s="286"/>
      <c r="DS114" s="286"/>
      <c r="DT114" s="287"/>
    </row>
    <row r="115" spans="1:124" ht="15" thickBot="1">
      <c r="A115" s="331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21"/>
      <c r="O115" s="322"/>
      <c r="P115" s="322"/>
      <c r="Q115" s="322"/>
      <c r="R115" s="322"/>
      <c r="S115" s="322"/>
      <c r="T115" s="322"/>
      <c r="U115" s="322"/>
      <c r="V115" s="297"/>
      <c r="W115" s="102"/>
      <c r="X115" s="102"/>
      <c r="Y115" s="102"/>
      <c r="Z115" s="102"/>
      <c r="AA115" s="103"/>
      <c r="AB115" s="312"/>
      <c r="AC115" s="313"/>
      <c r="AD115" s="313"/>
      <c r="AE115" s="313"/>
      <c r="AF115" s="313"/>
      <c r="AG115" s="321"/>
      <c r="AH115" s="322"/>
      <c r="AI115" s="322"/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22"/>
      <c r="AU115" s="322"/>
      <c r="AV115" s="322"/>
      <c r="AW115" s="322"/>
      <c r="AX115" s="322"/>
      <c r="AY115" s="322"/>
      <c r="AZ115" s="322"/>
      <c r="BA115" s="322"/>
      <c r="BB115" s="322"/>
      <c r="BC115" s="322"/>
      <c r="BD115" s="322"/>
      <c r="BE115" s="321"/>
      <c r="BF115" s="322"/>
      <c r="BG115" s="322"/>
      <c r="BH115" s="322"/>
      <c r="BI115" s="322"/>
      <c r="BJ115" s="322"/>
      <c r="BK115" s="322"/>
      <c r="BL115" s="322"/>
      <c r="BM115" s="322"/>
      <c r="BN115" s="322"/>
      <c r="BO115" s="322"/>
      <c r="BP115" s="322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271"/>
      <c r="CT115" s="272"/>
      <c r="CU115" s="298"/>
      <c r="CV115" s="298"/>
      <c r="CW115" s="298"/>
      <c r="CX115" s="298"/>
      <c r="CY115" s="298"/>
      <c r="CZ115" s="299"/>
      <c r="DA115" s="274"/>
      <c r="DB115" s="275"/>
      <c r="DC115" s="275"/>
      <c r="DD115" s="275"/>
      <c r="DE115" s="275"/>
      <c r="DF115" s="275"/>
      <c r="DG115" s="275"/>
      <c r="DH115" s="275"/>
      <c r="DI115" s="276"/>
      <c r="DJ115" s="285"/>
      <c r="DK115" s="286"/>
      <c r="DL115" s="286"/>
      <c r="DM115" s="286"/>
      <c r="DN115" s="286"/>
      <c r="DO115" s="286"/>
      <c r="DP115" s="286"/>
      <c r="DQ115" s="286"/>
      <c r="DR115" s="286"/>
      <c r="DS115" s="286"/>
      <c r="DT115" s="287"/>
    </row>
    <row r="116" spans="1:124" ht="21.6" thickBot="1">
      <c r="A116" s="3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23" t="s">
        <v>82</v>
      </c>
      <c r="Q116" s="323"/>
      <c r="R116" s="323"/>
      <c r="S116" s="323"/>
      <c r="T116" s="323"/>
      <c r="U116" s="323"/>
      <c r="V116" s="323"/>
      <c r="W116" s="323"/>
      <c r="X116" s="323"/>
      <c r="Y116" s="323"/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  <c r="AK116" s="323"/>
      <c r="AL116" s="323"/>
      <c r="AM116" s="323"/>
      <c r="AN116" s="323"/>
      <c r="AO116" s="323"/>
      <c r="AP116" s="323"/>
      <c r="AQ116" s="323"/>
      <c r="AR116" s="323"/>
      <c r="AS116" s="323"/>
      <c r="AT116" s="323"/>
      <c r="AU116" s="323"/>
      <c r="AV116" s="323"/>
      <c r="AW116" s="323"/>
      <c r="AX116" s="323"/>
      <c r="AY116" s="323"/>
      <c r="AZ116" s="323"/>
      <c r="BA116" s="323"/>
      <c r="BB116" s="323"/>
      <c r="BC116" s="323"/>
      <c r="BD116" s="323"/>
      <c r="BE116" s="323"/>
      <c r="BF116" s="323"/>
      <c r="BG116" s="323"/>
      <c r="BH116" s="323"/>
      <c r="BI116" s="323"/>
      <c r="BJ116" s="323"/>
      <c r="BK116" s="323"/>
      <c r="BL116" s="323"/>
      <c r="BM116" s="323"/>
      <c r="BN116" s="323"/>
      <c r="BO116" s="323"/>
      <c r="BP116" s="323"/>
      <c r="BQ116" s="323"/>
      <c r="BR116" s="323"/>
      <c r="BS116" s="323"/>
      <c r="BT116" s="323"/>
      <c r="BU116" s="323"/>
      <c r="BV116" s="323"/>
      <c r="BW116" s="323"/>
      <c r="BX116" s="323"/>
      <c r="BY116" s="323"/>
      <c r="BZ116" s="323"/>
      <c r="CA116" s="323"/>
      <c r="CB116" s="323"/>
      <c r="CC116" s="323"/>
      <c r="CD116" s="323"/>
      <c r="CE116" s="323"/>
      <c r="CF116" s="323"/>
      <c r="CG116" s="323"/>
      <c r="CH116" s="323"/>
      <c r="CI116" s="323"/>
      <c r="CJ116" s="323"/>
      <c r="CK116" s="323"/>
      <c r="CL116" s="323"/>
      <c r="CM116" s="323"/>
      <c r="CN116" s="323"/>
      <c r="CO116" s="323"/>
      <c r="CP116" s="323"/>
      <c r="CQ116" s="323"/>
      <c r="CR116" s="323"/>
      <c r="CS116" s="323"/>
      <c r="CT116" s="323"/>
      <c r="CU116" s="323"/>
      <c r="CV116" s="323"/>
      <c r="CW116" s="323"/>
      <c r="CX116" s="323"/>
      <c r="CY116" s="323"/>
      <c r="CZ116" s="14"/>
      <c r="DA116" s="327" t="s">
        <v>206</v>
      </c>
      <c r="DB116" s="328"/>
      <c r="DC116" s="328">
        <f>SUM(DA90:DI115)</f>
        <v>72507.303</v>
      </c>
      <c r="DD116" s="328"/>
      <c r="DE116" s="328"/>
      <c r="DF116" s="328"/>
      <c r="DG116" s="328"/>
      <c r="DH116" s="328"/>
      <c r="DI116" s="328"/>
      <c r="DJ116" s="328"/>
      <c r="DK116" s="328"/>
      <c r="DL116" s="328"/>
      <c r="DM116" s="328"/>
      <c r="DN116" s="328"/>
      <c r="DO116" s="328"/>
      <c r="DP116" s="328"/>
      <c r="DQ116" s="328"/>
      <c r="DR116" s="328"/>
      <c r="DS116" s="328"/>
      <c r="DT116" s="373"/>
    </row>
    <row r="117" spans="1:124" ht="20.39999999999999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324" t="s">
        <v>83</v>
      </c>
      <c r="DK117" s="324"/>
      <c r="DL117" s="324"/>
      <c r="DM117" s="324"/>
      <c r="DN117" s="324"/>
      <c r="DO117" s="324"/>
      <c r="DP117" s="325" t="s">
        <v>394</v>
      </c>
      <c r="DQ117" s="326"/>
      <c r="DR117" s="326"/>
      <c r="DS117" s="326"/>
      <c r="DT117" s="1"/>
    </row>
    <row r="122" spans="1:124" ht="16.8">
      <c r="A122" s="232" t="s">
        <v>61</v>
      </c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</row>
    <row r="123" spans="1:124" ht="21">
      <c r="A123" s="233" t="s">
        <v>4</v>
      </c>
      <c r="B123" s="234"/>
      <c r="C123" s="234"/>
      <c r="D123" s="234"/>
      <c r="E123" s="234"/>
      <c r="F123" s="2"/>
      <c r="G123" s="235" t="s">
        <v>197</v>
      </c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  <c r="AA123" s="235"/>
      <c r="AB123" s="235"/>
      <c r="AC123" s="235"/>
      <c r="AD123" s="235"/>
      <c r="AE123" s="236"/>
      <c r="AF123" s="233" t="s">
        <v>5</v>
      </c>
      <c r="AG123" s="234"/>
      <c r="AH123" s="234"/>
      <c r="AI123" s="234"/>
      <c r="AJ123" s="234"/>
      <c r="AK123" s="234"/>
      <c r="AL123" s="2"/>
      <c r="AM123" s="235" t="s">
        <v>6</v>
      </c>
      <c r="AN123" s="235"/>
      <c r="AO123" s="235"/>
      <c r="AP123" s="235"/>
      <c r="AQ123" s="235"/>
      <c r="AR123" s="235"/>
      <c r="AS123" s="235"/>
      <c r="AT123" s="235"/>
      <c r="AU123" s="235"/>
      <c r="AV123" s="235"/>
      <c r="AW123" s="235"/>
      <c r="AX123" s="235"/>
      <c r="AY123" s="235"/>
      <c r="AZ123" s="235"/>
      <c r="BA123" s="235"/>
      <c r="BB123" s="235"/>
      <c r="BC123" s="235"/>
      <c r="BD123" s="235"/>
      <c r="BE123" s="235"/>
      <c r="BF123" s="235"/>
      <c r="BG123" s="236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233" t="s">
        <v>8</v>
      </c>
      <c r="BV123" s="234"/>
      <c r="BW123" s="234"/>
      <c r="BX123" s="234"/>
      <c r="BY123" s="234"/>
      <c r="BZ123" s="2"/>
      <c r="CA123" s="237">
        <v>1009</v>
      </c>
      <c r="CB123" s="235"/>
      <c r="CC123" s="235"/>
      <c r="CD123" s="235"/>
      <c r="CE123" s="235"/>
      <c r="CF123" s="235"/>
      <c r="CG123" s="235"/>
      <c r="CH123" s="235"/>
      <c r="CI123" s="236"/>
      <c r="CJ123" s="233" t="s">
        <v>9</v>
      </c>
      <c r="CK123" s="234"/>
      <c r="CL123" s="234"/>
      <c r="CM123" s="234"/>
      <c r="CN123" s="234"/>
      <c r="CO123" s="2"/>
      <c r="CP123" s="237" t="s">
        <v>214</v>
      </c>
      <c r="CQ123" s="235"/>
      <c r="CR123" s="235"/>
      <c r="CS123" s="235"/>
      <c r="CT123" s="235"/>
      <c r="CU123" s="235"/>
      <c r="CV123" s="235"/>
      <c r="CW123" s="235"/>
      <c r="CX123" s="236"/>
      <c r="CY123" s="1"/>
      <c r="CZ123" s="1"/>
      <c r="DA123" s="1"/>
      <c r="DB123" s="1"/>
      <c r="DC123" s="1"/>
      <c r="DD123" s="1"/>
      <c r="DE123" s="1"/>
      <c r="DF123" s="1"/>
      <c r="DG123" s="233" t="s">
        <v>62</v>
      </c>
      <c r="DH123" s="234"/>
      <c r="DI123" s="234"/>
      <c r="DJ123" s="234"/>
      <c r="DK123" s="234"/>
      <c r="DL123" s="2"/>
      <c r="DM123" s="235">
        <v>2024</v>
      </c>
      <c r="DN123" s="235"/>
      <c r="DO123" s="235"/>
      <c r="DP123" s="235"/>
      <c r="DQ123" s="235"/>
      <c r="DR123" s="235"/>
      <c r="DS123" s="235"/>
      <c r="DT123" s="236"/>
    </row>
    <row r="124" spans="1:124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</row>
    <row r="125" spans="1:124" ht="20.399999999999999">
      <c r="A125" s="238" t="s">
        <v>63</v>
      </c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  <c r="AM125" s="239"/>
      <c r="AN125" s="239"/>
      <c r="AO125" s="239"/>
      <c r="AP125" s="239"/>
      <c r="AQ125" s="239"/>
      <c r="AR125" s="239"/>
      <c r="AS125" s="239"/>
      <c r="AT125" s="239"/>
      <c r="AU125" s="239"/>
      <c r="AV125" s="239"/>
      <c r="AW125" s="239"/>
      <c r="AX125" s="239"/>
      <c r="AY125" s="239"/>
      <c r="AZ125" s="239"/>
      <c r="BA125" s="239"/>
      <c r="BB125" s="239"/>
      <c r="BC125" s="239"/>
      <c r="BD125" s="239"/>
      <c r="BE125" s="239"/>
      <c r="BF125" s="239"/>
      <c r="BG125" s="239"/>
      <c r="BH125" s="239"/>
      <c r="BI125" s="239"/>
      <c r="BJ125" s="239"/>
      <c r="BK125" s="239"/>
      <c r="BL125" s="239"/>
      <c r="BM125" s="239"/>
      <c r="BN125" s="239"/>
      <c r="BO125" s="239"/>
      <c r="BP125" s="239"/>
      <c r="BQ125" s="239"/>
      <c r="BR125" s="239"/>
      <c r="BS125" s="239"/>
      <c r="BT125" s="239"/>
      <c r="BU125" s="239"/>
      <c r="BV125" s="239"/>
      <c r="BW125" s="239"/>
      <c r="BX125" s="239"/>
      <c r="BY125" s="239"/>
      <c r="BZ125" s="239"/>
      <c r="CA125" s="239"/>
      <c r="CB125" s="239"/>
      <c r="CC125" s="239"/>
      <c r="CD125" s="239"/>
      <c r="CE125" s="239"/>
      <c r="CF125" s="239"/>
      <c r="CG125" s="239"/>
      <c r="CH125" s="239"/>
      <c r="CI125" s="239"/>
      <c r="CJ125" s="239"/>
      <c r="CK125" s="239"/>
      <c r="CL125" s="239"/>
      <c r="CM125" s="239"/>
      <c r="CN125" s="239"/>
      <c r="CO125" s="239"/>
      <c r="CP125" s="239"/>
      <c r="CQ125" s="239"/>
      <c r="CR125" s="239"/>
      <c r="CS125" s="239"/>
      <c r="CT125" s="239"/>
      <c r="CU125" s="239"/>
      <c r="CV125" s="239"/>
      <c r="CW125" s="239"/>
      <c r="CX125" s="239"/>
      <c r="CY125" s="239"/>
      <c r="CZ125" s="239"/>
      <c r="DA125" s="239"/>
      <c r="DB125" s="239"/>
      <c r="DC125" s="239"/>
      <c r="DD125" s="239"/>
      <c r="DE125" s="239"/>
      <c r="DF125" s="239"/>
      <c r="DG125" s="239"/>
      <c r="DH125" s="239"/>
      <c r="DI125" s="239"/>
      <c r="DJ125" s="239"/>
      <c r="DK125" s="239"/>
      <c r="DL125" s="239"/>
      <c r="DM125" s="239"/>
      <c r="DN125" s="239"/>
      <c r="DO125" s="239"/>
      <c r="DP125" s="239"/>
      <c r="DQ125" s="239"/>
      <c r="DR125" s="239"/>
      <c r="DS125" s="239"/>
      <c r="DT125" s="240"/>
    </row>
    <row r="126" spans="1:124" ht="15" thickBot="1">
      <c r="A126" s="241" t="s">
        <v>64</v>
      </c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6"/>
    </row>
    <row r="127" spans="1:124" ht="15" thickBot="1"/>
    <row r="128" spans="1:124" ht="17.399999999999999">
      <c r="A128" s="243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4"/>
      <c r="M128" s="245"/>
      <c r="N128" s="246"/>
      <c r="O128" s="244"/>
      <c r="P128" s="244"/>
      <c r="Q128" s="244"/>
      <c r="R128" s="244"/>
      <c r="S128" s="244"/>
      <c r="T128" s="244"/>
      <c r="U128" s="245"/>
      <c r="V128" s="247" t="s">
        <v>65</v>
      </c>
      <c r="W128" s="248"/>
      <c r="X128" s="248"/>
      <c r="Y128" s="248"/>
      <c r="Z128" s="248"/>
      <c r="AA128" s="249"/>
      <c r="AB128" s="246"/>
      <c r="AC128" s="244"/>
      <c r="AD128" s="244"/>
      <c r="AE128" s="244"/>
      <c r="AF128" s="245"/>
      <c r="AG128" s="246"/>
      <c r="AH128" s="244"/>
      <c r="AI128" s="244"/>
      <c r="AJ128" s="244"/>
      <c r="AK128" s="244"/>
      <c r="AL128" s="244"/>
      <c r="AM128" s="244"/>
      <c r="AN128" s="244"/>
      <c r="AO128" s="244"/>
      <c r="AP128" s="244"/>
      <c r="AQ128" s="244"/>
      <c r="AR128" s="244"/>
      <c r="AS128" s="244"/>
      <c r="AT128" s="244"/>
      <c r="AU128" s="244"/>
      <c r="AV128" s="245"/>
      <c r="AW128" s="250" t="s">
        <v>66</v>
      </c>
      <c r="AX128" s="251"/>
      <c r="AY128" s="251"/>
      <c r="AZ128" s="251"/>
      <c r="BA128" s="251"/>
      <c r="BB128" s="251"/>
      <c r="BC128" s="251"/>
      <c r="BD128" s="251"/>
      <c r="BE128" s="251"/>
      <c r="BF128" s="251"/>
      <c r="BG128" s="251"/>
      <c r="BH128" s="251"/>
      <c r="BI128" s="251"/>
      <c r="BJ128" s="251"/>
      <c r="BK128" s="251"/>
      <c r="BL128" s="251"/>
      <c r="BM128" s="251"/>
      <c r="BN128" s="251"/>
      <c r="BO128" s="251"/>
      <c r="BP128" s="251"/>
      <c r="BQ128" s="251"/>
      <c r="BR128" s="251"/>
      <c r="BS128" s="251"/>
      <c r="BT128" s="251"/>
      <c r="BU128" s="251"/>
      <c r="BV128" s="251"/>
      <c r="BW128" s="251"/>
      <c r="BX128" s="251"/>
      <c r="BY128" s="251"/>
      <c r="BZ128" s="251"/>
      <c r="CA128" s="251"/>
      <c r="CB128" s="251"/>
      <c r="CC128" s="251"/>
      <c r="CD128" s="251"/>
      <c r="CE128" s="251"/>
      <c r="CF128" s="251"/>
      <c r="CG128" s="251"/>
      <c r="CH128" s="251"/>
      <c r="CI128" s="251"/>
      <c r="CJ128" s="251"/>
      <c r="CK128" s="251"/>
      <c r="CL128" s="251"/>
      <c r="CM128" s="251"/>
      <c r="CN128" s="251"/>
      <c r="CO128" s="251"/>
      <c r="CP128" s="251"/>
      <c r="CQ128" s="251"/>
      <c r="CR128" s="252"/>
      <c r="CS128" s="246"/>
      <c r="CT128" s="244"/>
      <c r="CU128" s="244"/>
      <c r="CV128" s="244"/>
      <c r="CW128" s="244"/>
      <c r="CX128" s="244"/>
      <c r="CY128" s="244"/>
      <c r="CZ128" s="245"/>
      <c r="DA128" s="246"/>
      <c r="DB128" s="244"/>
      <c r="DC128" s="244"/>
      <c r="DD128" s="244"/>
      <c r="DE128" s="244"/>
      <c r="DF128" s="244"/>
      <c r="DG128" s="244"/>
      <c r="DH128" s="244"/>
      <c r="DI128" s="245"/>
      <c r="DJ128" s="246"/>
      <c r="DK128" s="244"/>
      <c r="DL128" s="244"/>
      <c r="DM128" s="244"/>
      <c r="DN128" s="244"/>
      <c r="DO128" s="244"/>
      <c r="DP128" s="244"/>
      <c r="DQ128" s="244"/>
      <c r="DR128" s="244"/>
      <c r="DS128" s="244"/>
      <c r="DT128" s="253"/>
    </row>
    <row r="129" spans="1:126">
      <c r="A129" s="264" t="s">
        <v>67</v>
      </c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L129" s="257"/>
      <c r="M129" s="258"/>
      <c r="N129" s="256" t="s">
        <v>68</v>
      </c>
      <c r="O129" s="257"/>
      <c r="P129" s="257"/>
      <c r="Q129" s="257"/>
      <c r="R129" s="257"/>
      <c r="S129" s="257"/>
      <c r="T129" s="257"/>
      <c r="U129" s="258"/>
      <c r="V129" s="265" t="s">
        <v>69</v>
      </c>
      <c r="W129" s="266"/>
      <c r="X129" s="266"/>
      <c r="Y129" s="266"/>
      <c r="Z129" s="266"/>
      <c r="AA129" s="267"/>
      <c r="AB129" s="268" t="s">
        <v>70</v>
      </c>
      <c r="AC129" s="269"/>
      <c r="AD129" s="269"/>
      <c r="AE129" s="269"/>
      <c r="AF129" s="270"/>
      <c r="AG129" s="256" t="s">
        <v>71</v>
      </c>
      <c r="AH129" s="257"/>
      <c r="AI129" s="257"/>
      <c r="AJ129" s="257"/>
      <c r="AK129" s="257"/>
      <c r="AL129" s="257"/>
      <c r="AM129" s="257"/>
      <c r="AN129" s="257"/>
      <c r="AO129" s="257"/>
      <c r="AP129" s="257"/>
      <c r="AQ129" s="257"/>
      <c r="AR129" s="257"/>
      <c r="AS129" s="257"/>
      <c r="AT129" s="257"/>
      <c r="AU129" s="257"/>
      <c r="AV129" s="258"/>
      <c r="AW129" s="283" t="s">
        <v>72</v>
      </c>
      <c r="AX129" s="254"/>
      <c r="AY129" s="254"/>
      <c r="AZ129" s="254"/>
      <c r="BA129" s="254"/>
      <c r="BB129" s="254"/>
      <c r="BC129" s="254"/>
      <c r="BD129" s="254"/>
      <c r="BE129" s="254" t="s">
        <v>73</v>
      </c>
      <c r="BF129" s="254"/>
      <c r="BG129" s="254"/>
      <c r="BH129" s="254"/>
      <c r="BI129" s="254"/>
      <c r="BJ129" s="254"/>
      <c r="BK129" s="254"/>
      <c r="BL129" s="254"/>
      <c r="BM129" s="254" t="s">
        <v>74</v>
      </c>
      <c r="BN129" s="254"/>
      <c r="BO129" s="254"/>
      <c r="BP129" s="254"/>
      <c r="BQ129" s="254"/>
      <c r="BR129" s="254"/>
      <c r="BS129" s="254"/>
      <c r="BT129" s="254"/>
      <c r="BU129" s="254" t="s">
        <v>75</v>
      </c>
      <c r="BV129" s="254"/>
      <c r="BW129" s="254"/>
      <c r="BX129" s="254"/>
      <c r="BY129" s="254"/>
      <c r="BZ129" s="254"/>
      <c r="CA129" s="254"/>
      <c r="CB129" s="254"/>
      <c r="CC129" s="254" t="s">
        <v>76</v>
      </c>
      <c r="CD129" s="254"/>
      <c r="CE129" s="254"/>
      <c r="CF129" s="254"/>
      <c r="CG129" s="254"/>
      <c r="CH129" s="254"/>
      <c r="CI129" s="254"/>
      <c r="CJ129" s="254"/>
      <c r="CK129" s="254" t="s">
        <v>77</v>
      </c>
      <c r="CL129" s="254"/>
      <c r="CM129" s="254"/>
      <c r="CN129" s="254"/>
      <c r="CO129" s="254"/>
      <c r="CP129" s="254"/>
      <c r="CQ129" s="254"/>
      <c r="CR129" s="255"/>
      <c r="CS129" s="256" t="s">
        <v>78</v>
      </c>
      <c r="CT129" s="257"/>
      <c r="CU129" s="257"/>
      <c r="CV129" s="257"/>
      <c r="CW129" s="257"/>
      <c r="CX129" s="257"/>
      <c r="CY129" s="257"/>
      <c r="CZ129" s="258"/>
      <c r="DA129" s="256" t="s">
        <v>79</v>
      </c>
      <c r="DB129" s="257"/>
      <c r="DC129" s="257"/>
      <c r="DD129" s="257"/>
      <c r="DE129" s="257"/>
      <c r="DF129" s="257"/>
      <c r="DG129" s="257"/>
      <c r="DH129" s="257"/>
      <c r="DI129" s="258"/>
      <c r="DJ129" s="256" t="s">
        <v>80</v>
      </c>
      <c r="DK129" s="257"/>
      <c r="DL129" s="257"/>
      <c r="DM129" s="257"/>
      <c r="DN129" s="257"/>
      <c r="DO129" s="257"/>
      <c r="DP129" s="257"/>
      <c r="DQ129" s="257"/>
      <c r="DR129" s="257"/>
      <c r="DS129" s="257"/>
      <c r="DT129" s="259"/>
    </row>
    <row r="130" spans="1:126">
      <c r="A130" s="306" t="s">
        <v>465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90"/>
      <c r="N130" s="260" t="s">
        <v>470</v>
      </c>
      <c r="O130" s="102"/>
      <c r="P130" s="102"/>
      <c r="Q130" s="102"/>
      <c r="R130" s="102"/>
      <c r="S130" s="102"/>
      <c r="T130" s="102"/>
      <c r="U130" s="103"/>
      <c r="V130" s="297">
        <v>35771</v>
      </c>
      <c r="W130" s="102"/>
      <c r="X130" s="102"/>
      <c r="Y130" s="102"/>
      <c r="Z130" s="102"/>
      <c r="AA130" s="103"/>
      <c r="AB130" s="280" t="s">
        <v>498</v>
      </c>
      <c r="AC130" s="281"/>
      <c r="AD130" s="281"/>
      <c r="AE130" s="281"/>
      <c r="AF130" s="282"/>
      <c r="AG130" s="260" t="s">
        <v>506</v>
      </c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3"/>
      <c r="AW130" s="261"/>
      <c r="AX130" s="102"/>
      <c r="AY130" s="102"/>
      <c r="AZ130" s="102"/>
      <c r="BA130" s="102"/>
      <c r="BB130" s="102"/>
      <c r="BC130" s="102"/>
      <c r="BD130" s="103"/>
      <c r="BE130" s="261"/>
      <c r="BF130" s="102"/>
      <c r="BG130" s="102"/>
      <c r="BH130" s="102"/>
      <c r="BI130" s="102"/>
      <c r="BJ130" s="102"/>
      <c r="BK130" s="102"/>
      <c r="BL130" s="103"/>
      <c r="BM130" s="260" t="s">
        <v>370</v>
      </c>
      <c r="BN130" s="102"/>
      <c r="BO130" s="102"/>
      <c r="BP130" s="102"/>
      <c r="BQ130" s="102"/>
      <c r="BR130" s="102"/>
      <c r="BS130" s="102"/>
      <c r="BT130" s="103"/>
      <c r="BU130" s="260" t="s">
        <v>373</v>
      </c>
      <c r="BV130" s="102"/>
      <c r="BW130" s="102"/>
      <c r="BX130" s="102"/>
      <c r="BY130" s="102"/>
      <c r="BZ130" s="102"/>
      <c r="CA130" s="102"/>
      <c r="CB130" s="103"/>
      <c r="CC130" s="261"/>
      <c r="CD130" s="102"/>
      <c r="CE130" s="102"/>
      <c r="CF130" s="102"/>
      <c r="CG130" s="102"/>
      <c r="CH130" s="102"/>
      <c r="CI130" s="102"/>
      <c r="CJ130" s="103"/>
      <c r="CK130" s="337"/>
      <c r="CL130" s="338"/>
      <c r="CM130" s="338"/>
      <c r="CN130" s="338"/>
      <c r="CO130" s="338"/>
      <c r="CP130" s="338"/>
      <c r="CQ130" s="338"/>
      <c r="CR130" s="339"/>
      <c r="CS130" s="271" t="s">
        <v>206</v>
      </c>
      <c r="CT130" s="272"/>
      <c r="CU130" s="298">
        <v>146.15</v>
      </c>
      <c r="CV130" s="298"/>
      <c r="CW130" s="298"/>
      <c r="CX130" s="298"/>
      <c r="CY130" s="298"/>
      <c r="CZ130" s="299"/>
      <c r="DA130" s="274" t="s">
        <v>206</v>
      </c>
      <c r="DB130" s="275"/>
      <c r="DC130" s="275">
        <f t="shared" ref="DC130:DC155" si="5">+AB130*CU130</f>
        <v>3799.9</v>
      </c>
      <c r="DD130" s="275"/>
      <c r="DE130" s="275"/>
      <c r="DF130" s="275"/>
      <c r="DG130" s="275"/>
      <c r="DH130" s="275"/>
      <c r="DI130" s="276"/>
      <c r="DJ130" s="374" t="s">
        <v>393</v>
      </c>
      <c r="DK130" s="375"/>
      <c r="DL130" s="375"/>
      <c r="DM130" s="375"/>
      <c r="DN130" s="375"/>
      <c r="DO130" s="375"/>
      <c r="DP130" s="375"/>
      <c r="DQ130" s="375"/>
      <c r="DR130" s="375"/>
      <c r="DS130" s="375"/>
      <c r="DT130" s="376"/>
    </row>
    <row r="131" spans="1:126">
      <c r="A131" s="346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90"/>
      <c r="N131" s="307" t="s">
        <v>471</v>
      </c>
      <c r="O131" s="102"/>
      <c r="P131" s="102"/>
      <c r="Q131" s="102"/>
      <c r="R131" s="102"/>
      <c r="S131" s="102"/>
      <c r="T131" s="102"/>
      <c r="U131" s="103"/>
      <c r="V131" s="305" t="s">
        <v>496</v>
      </c>
      <c r="W131" s="102"/>
      <c r="X131" s="102"/>
      <c r="Y131" s="102"/>
      <c r="Z131" s="102"/>
      <c r="AA131" s="103"/>
      <c r="AB131" s="291" t="s">
        <v>252</v>
      </c>
      <c r="AC131" s="295"/>
      <c r="AD131" s="295"/>
      <c r="AE131" s="295"/>
      <c r="AF131" s="296"/>
      <c r="AG131" s="262" t="s">
        <v>507</v>
      </c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1"/>
      <c r="AW131" s="284"/>
      <c r="AX131" s="90"/>
      <c r="AY131" s="90"/>
      <c r="AZ131" s="90"/>
      <c r="BA131" s="90"/>
      <c r="BB131" s="90"/>
      <c r="BC131" s="90"/>
      <c r="BD131" s="91"/>
      <c r="BE131" s="284"/>
      <c r="BF131" s="90"/>
      <c r="BG131" s="90"/>
      <c r="BH131" s="90"/>
      <c r="BI131" s="90"/>
      <c r="BJ131" s="90"/>
      <c r="BK131" s="90"/>
      <c r="BL131" s="91"/>
      <c r="BM131" s="262" t="s">
        <v>219</v>
      </c>
      <c r="BN131" s="90"/>
      <c r="BO131" s="90"/>
      <c r="BP131" s="90"/>
      <c r="BQ131" s="90"/>
      <c r="BR131" s="90"/>
      <c r="BS131" s="90"/>
      <c r="BT131" s="91"/>
      <c r="BU131" s="262" t="s">
        <v>220</v>
      </c>
      <c r="BV131" s="90"/>
      <c r="BW131" s="90"/>
      <c r="BX131" s="90"/>
      <c r="BY131" s="90"/>
      <c r="BZ131" s="90"/>
      <c r="CA131" s="90"/>
      <c r="CB131" s="91"/>
      <c r="CC131" s="284"/>
      <c r="CD131" s="90"/>
      <c r="CE131" s="90"/>
      <c r="CF131" s="90"/>
      <c r="CG131" s="90"/>
      <c r="CH131" s="90"/>
      <c r="CI131" s="90"/>
      <c r="CJ131" s="91"/>
      <c r="CK131" s="284"/>
      <c r="CL131" s="90"/>
      <c r="CM131" s="90"/>
      <c r="CN131" s="90"/>
      <c r="CO131" s="90"/>
      <c r="CP131" s="90"/>
      <c r="CQ131" s="90"/>
      <c r="CR131" s="91"/>
      <c r="CS131" s="271" t="s">
        <v>206</v>
      </c>
      <c r="CT131" s="272"/>
      <c r="CU131" s="298">
        <v>941.6</v>
      </c>
      <c r="CV131" s="298"/>
      <c r="CW131" s="298"/>
      <c r="CX131" s="298"/>
      <c r="CY131" s="298"/>
      <c r="CZ131" s="299"/>
      <c r="DA131" s="274" t="s">
        <v>206</v>
      </c>
      <c r="DB131" s="275"/>
      <c r="DC131" s="275">
        <f t="shared" si="5"/>
        <v>941.6</v>
      </c>
      <c r="DD131" s="275"/>
      <c r="DE131" s="275"/>
      <c r="DF131" s="275"/>
      <c r="DG131" s="275"/>
      <c r="DH131" s="275"/>
      <c r="DI131" s="276"/>
      <c r="DJ131" s="262" t="s">
        <v>305</v>
      </c>
      <c r="DK131" s="314"/>
      <c r="DL131" s="314"/>
      <c r="DM131" s="314"/>
      <c r="DN131" s="314"/>
      <c r="DO131" s="314"/>
      <c r="DP131" s="314"/>
      <c r="DQ131" s="314"/>
      <c r="DR131" s="314"/>
      <c r="DS131" s="314"/>
      <c r="DT131" s="315"/>
    </row>
    <row r="132" spans="1:126">
      <c r="A132" s="306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90"/>
      <c r="N132" s="307" t="s">
        <v>472</v>
      </c>
      <c r="O132" s="102"/>
      <c r="P132" s="102"/>
      <c r="Q132" s="102"/>
      <c r="R132" s="102"/>
      <c r="S132" s="102"/>
      <c r="T132" s="102"/>
      <c r="U132" s="103"/>
      <c r="V132" s="297">
        <v>44528</v>
      </c>
      <c r="W132" s="102"/>
      <c r="X132" s="102"/>
      <c r="Y132" s="102"/>
      <c r="Z132" s="102"/>
      <c r="AA132" s="103"/>
      <c r="AB132" s="291" t="s">
        <v>499</v>
      </c>
      <c r="AC132" s="295"/>
      <c r="AD132" s="295"/>
      <c r="AE132" s="295"/>
      <c r="AF132" s="296"/>
      <c r="AG132" s="262" t="s">
        <v>506</v>
      </c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1"/>
      <c r="AW132" s="262" t="s">
        <v>361</v>
      </c>
      <c r="AX132" s="90"/>
      <c r="AY132" s="90"/>
      <c r="AZ132" s="90"/>
      <c r="BA132" s="90"/>
      <c r="BB132" s="90"/>
      <c r="BC132" s="90"/>
      <c r="BD132" s="91"/>
      <c r="BE132" s="284"/>
      <c r="BF132" s="90"/>
      <c r="BG132" s="90"/>
      <c r="BH132" s="90"/>
      <c r="BI132" s="90"/>
      <c r="BJ132" s="90"/>
      <c r="BK132" s="90"/>
      <c r="BL132" s="91"/>
      <c r="BM132" s="262" t="s">
        <v>370</v>
      </c>
      <c r="BN132" s="90"/>
      <c r="BO132" s="90"/>
      <c r="BP132" s="90"/>
      <c r="BQ132" s="90"/>
      <c r="BR132" s="90"/>
      <c r="BS132" s="90"/>
      <c r="BT132" s="91"/>
      <c r="BU132" s="262" t="s">
        <v>373</v>
      </c>
      <c r="BV132" s="90"/>
      <c r="BW132" s="90"/>
      <c r="BX132" s="90"/>
      <c r="BY132" s="90"/>
      <c r="BZ132" s="90"/>
      <c r="CA132" s="90"/>
      <c r="CB132" s="91"/>
      <c r="CC132" s="284"/>
      <c r="CD132" s="90"/>
      <c r="CE132" s="90"/>
      <c r="CF132" s="90"/>
      <c r="CG132" s="90"/>
      <c r="CH132" s="90"/>
      <c r="CI132" s="90"/>
      <c r="CJ132" s="91"/>
      <c r="CK132" s="284"/>
      <c r="CL132" s="90"/>
      <c r="CM132" s="90"/>
      <c r="CN132" s="90"/>
      <c r="CO132" s="90"/>
      <c r="CP132" s="90"/>
      <c r="CQ132" s="90"/>
      <c r="CR132" s="91"/>
      <c r="CS132" s="271" t="s">
        <v>206</v>
      </c>
      <c r="CT132" s="272"/>
      <c r="CU132" s="298">
        <v>350</v>
      </c>
      <c r="CV132" s="298"/>
      <c r="CW132" s="298"/>
      <c r="CX132" s="298"/>
      <c r="CY132" s="298"/>
      <c r="CZ132" s="299"/>
      <c r="DA132" s="274" t="s">
        <v>206</v>
      </c>
      <c r="DB132" s="275"/>
      <c r="DC132" s="275">
        <f t="shared" si="5"/>
        <v>10500</v>
      </c>
      <c r="DD132" s="275"/>
      <c r="DE132" s="275"/>
      <c r="DF132" s="275"/>
      <c r="DG132" s="275"/>
      <c r="DH132" s="275"/>
      <c r="DI132" s="276"/>
      <c r="DJ132" s="262" t="s">
        <v>305</v>
      </c>
      <c r="DK132" s="314"/>
      <c r="DL132" s="314"/>
      <c r="DM132" s="314"/>
      <c r="DN132" s="314"/>
      <c r="DO132" s="314"/>
      <c r="DP132" s="314"/>
      <c r="DQ132" s="314"/>
      <c r="DR132" s="314"/>
      <c r="DS132" s="314"/>
      <c r="DT132" s="315"/>
    </row>
    <row r="133" spans="1:126">
      <c r="A133" s="308" t="s">
        <v>466</v>
      </c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307" t="s">
        <v>473</v>
      </c>
      <c r="O133" s="102"/>
      <c r="P133" s="102"/>
      <c r="Q133" s="102"/>
      <c r="R133" s="102"/>
      <c r="S133" s="102"/>
      <c r="T133" s="102"/>
      <c r="U133" s="103"/>
      <c r="V133" s="305" t="s">
        <v>249</v>
      </c>
      <c r="W133" s="347"/>
      <c r="X133" s="347"/>
      <c r="Y133" s="347"/>
      <c r="Z133" s="347"/>
      <c r="AA133" s="348"/>
      <c r="AB133" s="312" t="s">
        <v>252</v>
      </c>
      <c r="AC133" s="313"/>
      <c r="AD133" s="313"/>
      <c r="AE133" s="313"/>
      <c r="AF133" s="313"/>
      <c r="AG133" s="285" t="s">
        <v>508</v>
      </c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5"/>
      <c r="AX133" s="286"/>
      <c r="AY133" s="286"/>
      <c r="AZ133" s="286"/>
      <c r="BA133" s="286"/>
      <c r="BB133" s="286"/>
      <c r="BC133" s="286"/>
      <c r="BD133" s="286"/>
      <c r="BE133" s="285"/>
      <c r="BF133" s="286"/>
      <c r="BG133" s="286"/>
      <c r="BH133" s="286"/>
      <c r="BI133" s="286"/>
      <c r="BJ133" s="286"/>
      <c r="BK133" s="286"/>
      <c r="BL133" s="286"/>
      <c r="BM133" s="285" t="s">
        <v>219</v>
      </c>
      <c r="BN133" s="286"/>
      <c r="BO133" s="286"/>
      <c r="BP133" s="286"/>
      <c r="BQ133" s="286"/>
      <c r="BR133" s="286"/>
      <c r="BS133" s="286"/>
      <c r="BT133" s="286"/>
      <c r="BU133" s="285" t="s">
        <v>373</v>
      </c>
      <c r="BV133" s="286"/>
      <c r="BW133" s="286"/>
      <c r="BX133" s="286"/>
      <c r="BY133" s="286"/>
      <c r="BZ133" s="286"/>
      <c r="CA133" s="286"/>
      <c r="CB133" s="286"/>
      <c r="CC133" s="286"/>
      <c r="CD133" s="286"/>
      <c r="CE133" s="286"/>
      <c r="CF133" s="286"/>
      <c r="CG133" s="286"/>
      <c r="CH133" s="286"/>
      <c r="CI133" s="286"/>
      <c r="CJ133" s="286"/>
      <c r="CK133" s="341"/>
      <c r="CL133" s="342"/>
      <c r="CM133" s="342"/>
      <c r="CN133" s="342"/>
      <c r="CO133" s="342"/>
      <c r="CP133" s="342"/>
      <c r="CQ133" s="342"/>
      <c r="CR133" s="343"/>
      <c r="CS133" s="271" t="s">
        <v>206</v>
      </c>
      <c r="CT133" s="272"/>
      <c r="CU133" s="298">
        <v>1036</v>
      </c>
      <c r="CV133" s="298"/>
      <c r="CW133" s="298"/>
      <c r="CX133" s="298"/>
      <c r="CY133" s="298"/>
      <c r="CZ133" s="299"/>
      <c r="DA133" s="274" t="s">
        <v>206</v>
      </c>
      <c r="DB133" s="275"/>
      <c r="DC133" s="275">
        <f t="shared" si="5"/>
        <v>1036</v>
      </c>
      <c r="DD133" s="275"/>
      <c r="DE133" s="275"/>
      <c r="DF133" s="275"/>
      <c r="DG133" s="275"/>
      <c r="DH133" s="275"/>
      <c r="DI133" s="276"/>
      <c r="DJ133" s="262" t="s">
        <v>305</v>
      </c>
      <c r="DK133" s="314"/>
      <c r="DL133" s="314"/>
      <c r="DM133" s="314"/>
      <c r="DN133" s="314"/>
      <c r="DO133" s="314"/>
      <c r="DP133" s="314"/>
      <c r="DQ133" s="314"/>
      <c r="DR133" s="314"/>
      <c r="DS133" s="314"/>
      <c r="DT133" s="315"/>
    </row>
    <row r="134" spans="1:126">
      <c r="A134" s="308" t="s">
        <v>467</v>
      </c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307" t="s">
        <v>474</v>
      </c>
      <c r="O134" s="102"/>
      <c r="P134" s="102"/>
      <c r="Q134" s="102"/>
      <c r="R134" s="102"/>
      <c r="S134" s="102"/>
      <c r="T134" s="102"/>
      <c r="U134" s="103"/>
      <c r="V134" s="305" t="s">
        <v>249</v>
      </c>
      <c r="W134" s="347"/>
      <c r="X134" s="347"/>
      <c r="Y134" s="347"/>
      <c r="Z134" s="347"/>
      <c r="AA134" s="348"/>
      <c r="AB134" s="312" t="s">
        <v>217</v>
      </c>
      <c r="AC134" s="313"/>
      <c r="AD134" s="313"/>
      <c r="AE134" s="313"/>
      <c r="AF134" s="313"/>
      <c r="AG134" s="285" t="s">
        <v>353</v>
      </c>
      <c r="AH134" s="286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6"/>
      <c r="AS134" s="286"/>
      <c r="AT134" s="286"/>
      <c r="AU134" s="286"/>
      <c r="AV134" s="286"/>
      <c r="AW134" s="285"/>
      <c r="AX134" s="286"/>
      <c r="AY134" s="286"/>
      <c r="AZ134" s="286"/>
      <c r="BA134" s="286"/>
      <c r="BB134" s="286"/>
      <c r="BC134" s="286"/>
      <c r="BD134" s="286"/>
      <c r="BE134" s="286"/>
      <c r="BF134" s="286"/>
      <c r="BG134" s="286"/>
      <c r="BH134" s="286"/>
      <c r="BI134" s="286"/>
      <c r="BJ134" s="286"/>
      <c r="BK134" s="286"/>
      <c r="BL134" s="286"/>
      <c r="BM134" s="285" t="s">
        <v>219</v>
      </c>
      <c r="BN134" s="286"/>
      <c r="BO134" s="286"/>
      <c r="BP134" s="286"/>
      <c r="BQ134" s="286"/>
      <c r="BR134" s="286"/>
      <c r="BS134" s="286"/>
      <c r="BT134" s="286"/>
      <c r="BU134" s="285" t="s">
        <v>373</v>
      </c>
      <c r="BV134" s="286"/>
      <c r="BW134" s="286"/>
      <c r="BX134" s="286"/>
      <c r="BY134" s="286"/>
      <c r="BZ134" s="286"/>
      <c r="CA134" s="286"/>
      <c r="CB134" s="286"/>
      <c r="CC134" s="370" t="s">
        <v>529</v>
      </c>
      <c r="CD134" s="371"/>
      <c r="CE134" s="371"/>
      <c r="CF134" s="371"/>
      <c r="CG134" s="371"/>
      <c r="CH134" s="371"/>
      <c r="CI134" s="371"/>
      <c r="CJ134" s="372"/>
      <c r="CK134" s="341"/>
      <c r="CL134" s="342"/>
      <c r="CM134" s="342"/>
      <c r="CN134" s="342"/>
      <c r="CO134" s="342"/>
      <c r="CP134" s="342"/>
      <c r="CQ134" s="342"/>
      <c r="CR134" s="343"/>
      <c r="CS134" s="271" t="s">
        <v>206</v>
      </c>
      <c r="CT134" s="272"/>
      <c r="CU134" s="298">
        <v>0</v>
      </c>
      <c r="CV134" s="298"/>
      <c r="CW134" s="298"/>
      <c r="CX134" s="298"/>
      <c r="CY134" s="298"/>
      <c r="CZ134" s="299"/>
      <c r="DA134" s="274" t="s">
        <v>206</v>
      </c>
      <c r="DB134" s="275"/>
      <c r="DC134" s="275">
        <f t="shared" si="5"/>
        <v>0</v>
      </c>
      <c r="DD134" s="275"/>
      <c r="DE134" s="275"/>
      <c r="DF134" s="275"/>
      <c r="DG134" s="275"/>
      <c r="DH134" s="275"/>
      <c r="DI134" s="276"/>
      <c r="DJ134" s="262" t="s">
        <v>305</v>
      </c>
      <c r="DK134" s="314"/>
      <c r="DL134" s="314"/>
      <c r="DM134" s="314"/>
      <c r="DN134" s="314"/>
      <c r="DO134" s="314"/>
      <c r="DP134" s="314"/>
      <c r="DQ134" s="314"/>
      <c r="DR134" s="314"/>
      <c r="DS134" s="314"/>
      <c r="DT134" s="315"/>
    </row>
    <row r="135" spans="1:126">
      <c r="A135" s="304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307" t="s">
        <v>475</v>
      </c>
      <c r="O135" s="102"/>
      <c r="P135" s="102"/>
      <c r="Q135" s="102"/>
      <c r="R135" s="102"/>
      <c r="S135" s="102"/>
      <c r="T135" s="102"/>
      <c r="U135" s="103"/>
      <c r="V135" s="305" t="s">
        <v>249</v>
      </c>
      <c r="W135" s="347"/>
      <c r="X135" s="347"/>
      <c r="Y135" s="347"/>
      <c r="Z135" s="347"/>
      <c r="AA135" s="348"/>
      <c r="AB135" s="291" t="s">
        <v>340</v>
      </c>
      <c r="AC135" s="295"/>
      <c r="AD135" s="295"/>
      <c r="AE135" s="295"/>
      <c r="AF135" s="296"/>
      <c r="AG135" s="262" t="s">
        <v>509</v>
      </c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1"/>
      <c r="AW135" s="262"/>
      <c r="AX135" s="90"/>
      <c r="AY135" s="90"/>
      <c r="AZ135" s="90"/>
      <c r="BA135" s="90"/>
      <c r="BB135" s="90"/>
      <c r="BC135" s="90"/>
      <c r="BD135" s="91"/>
      <c r="BE135" s="284"/>
      <c r="BF135" s="90"/>
      <c r="BG135" s="90"/>
      <c r="BH135" s="90"/>
      <c r="BI135" s="90"/>
      <c r="BJ135" s="90"/>
      <c r="BK135" s="90"/>
      <c r="BL135" s="91"/>
      <c r="BM135" s="262" t="s">
        <v>219</v>
      </c>
      <c r="BN135" s="90"/>
      <c r="BO135" s="90"/>
      <c r="BP135" s="90"/>
      <c r="BQ135" s="90"/>
      <c r="BR135" s="90"/>
      <c r="BS135" s="90"/>
      <c r="BT135" s="91"/>
      <c r="BU135" s="262" t="s">
        <v>373</v>
      </c>
      <c r="BV135" s="90"/>
      <c r="BW135" s="90"/>
      <c r="BX135" s="90"/>
      <c r="BY135" s="90"/>
      <c r="BZ135" s="90"/>
      <c r="CA135" s="90"/>
      <c r="CB135" s="91"/>
      <c r="CC135" s="370" t="s">
        <v>529</v>
      </c>
      <c r="CD135" s="371"/>
      <c r="CE135" s="371"/>
      <c r="CF135" s="371"/>
      <c r="CG135" s="371"/>
      <c r="CH135" s="371"/>
      <c r="CI135" s="371"/>
      <c r="CJ135" s="372"/>
      <c r="CK135" s="341"/>
      <c r="CL135" s="342"/>
      <c r="CM135" s="342"/>
      <c r="CN135" s="342"/>
      <c r="CO135" s="342"/>
      <c r="CP135" s="342"/>
      <c r="CQ135" s="342"/>
      <c r="CR135" s="343"/>
      <c r="CS135" s="271" t="s">
        <v>206</v>
      </c>
      <c r="CT135" s="272"/>
      <c r="CU135" s="298">
        <v>0</v>
      </c>
      <c r="CV135" s="298"/>
      <c r="CW135" s="298"/>
      <c r="CX135" s="298"/>
      <c r="CY135" s="298"/>
      <c r="CZ135" s="299"/>
      <c r="DA135" s="274" t="s">
        <v>206</v>
      </c>
      <c r="DB135" s="275"/>
      <c r="DC135" s="275">
        <f t="shared" si="5"/>
        <v>0</v>
      </c>
      <c r="DD135" s="275"/>
      <c r="DE135" s="275"/>
      <c r="DF135" s="275"/>
      <c r="DG135" s="275"/>
      <c r="DH135" s="275"/>
      <c r="DI135" s="276"/>
      <c r="DJ135" s="262" t="s">
        <v>305</v>
      </c>
      <c r="DK135" s="314"/>
      <c r="DL135" s="314"/>
      <c r="DM135" s="314"/>
      <c r="DN135" s="314"/>
      <c r="DO135" s="314"/>
      <c r="DP135" s="314"/>
      <c r="DQ135" s="314"/>
      <c r="DR135" s="314"/>
      <c r="DS135" s="314"/>
      <c r="DT135" s="315"/>
    </row>
    <row r="136" spans="1:126">
      <c r="A136" s="306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90"/>
      <c r="N136" s="307" t="s">
        <v>476</v>
      </c>
      <c r="O136" s="102"/>
      <c r="P136" s="102"/>
      <c r="Q136" s="102"/>
      <c r="R136" s="102"/>
      <c r="S136" s="102"/>
      <c r="T136" s="102"/>
      <c r="U136" s="103"/>
      <c r="V136" s="261">
        <v>1991</v>
      </c>
      <c r="W136" s="102"/>
      <c r="X136" s="102"/>
      <c r="Y136" s="102"/>
      <c r="Z136" s="102"/>
      <c r="AA136" s="103"/>
      <c r="AB136" s="291" t="s">
        <v>500</v>
      </c>
      <c r="AC136" s="295"/>
      <c r="AD136" s="295"/>
      <c r="AE136" s="295"/>
      <c r="AF136" s="296"/>
      <c r="AG136" s="262" t="s">
        <v>510</v>
      </c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1"/>
      <c r="AW136" s="284"/>
      <c r="AX136" s="90"/>
      <c r="AY136" s="90"/>
      <c r="AZ136" s="90"/>
      <c r="BA136" s="90"/>
      <c r="BB136" s="90"/>
      <c r="BC136" s="90"/>
      <c r="BD136" s="91"/>
      <c r="BE136" s="284"/>
      <c r="BF136" s="90"/>
      <c r="BG136" s="90"/>
      <c r="BH136" s="90"/>
      <c r="BI136" s="90"/>
      <c r="BJ136" s="90"/>
      <c r="BK136" s="90"/>
      <c r="BL136" s="91"/>
      <c r="BM136" s="262" t="s">
        <v>522</v>
      </c>
      <c r="BN136" s="90"/>
      <c r="BO136" s="90"/>
      <c r="BP136" s="90"/>
      <c r="BQ136" s="90"/>
      <c r="BR136" s="90"/>
      <c r="BS136" s="90"/>
      <c r="BT136" s="91"/>
      <c r="BU136" s="285" t="s">
        <v>373</v>
      </c>
      <c r="BV136" s="286"/>
      <c r="BW136" s="286"/>
      <c r="BX136" s="286"/>
      <c r="BY136" s="286"/>
      <c r="BZ136" s="286"/>
      <c r="CA136" s="286"/>
      <c r="CB136" s="286"/>
      <c r="CC136" s="262"/>
      <c r="CD136" s="90"/>
      <c r="CE136" s="90"/>
      <c r="CF136" s="90"/>
      <c r="CG136" s="90"/>
      <c r="CH136" s="90"/>
      <c r="CI136" s="90"/>
      <c r="CJ136" s="91"/>
      <c r="CK136" s="284"/>
      <c r="CL136" s="90"/>
      <c r="CM136" s="90"/>
      <c r="CN136" s="90"/>
      <c r="CO136" s="90"/>
      <c r="CP136" s="90"/>
      <c r="CQ136" s="90"/>
      <c r="CR136" s="91"/>
      <c r="CS136" s="271" t="s">
        <v>206</v>
      </c>
      <c r="CT136" s="272"/>
      <c r="CU136" s="298">
        <v>190</v>
      </c>
      <c r="CV136" s="298"/>
      <c r="CW136" s="298"/>
      <c r="CX136" s="298"/>
      <c r="CY136" s="298"/>
      <c r="CZ136" s="299"/>
      <c r="DA136" s="274" t="s">
        <v>206</v>
      </c>
      <c r="DB136" s="275"/>
      <c r="DC136" s="275">
        <f t="shared" si="5"/>
        <v>1140</v>
      </c>
      <c r="DD136" s="275"/>
      <c r="DE136" s="275"/>
      <c r="DF136" s="275"/>
      <c r="DG136" s="275"/>
      <c r="DH136" s="275"/>
      <c r="DI136" s="276"/>
      <c r="DJ136" s="262" t="s">
        <v>305</v>
      </c>
      <c r="DK136" s="314"/>
      <c r="DL136" s="314"/>
      <c r="DM136" s="314"/>
      <c r="DN136" s="314"/>
      <c r="DO136" s="314"/>
      <c r="DP136" s="314"/>
      <c r="DQ136" s="314"/>
      <c r="DR136" s="314"/>
      <c r="DS136" s="314"/>
      <c r="DT136" s="315"/>
    </row>
    <row r="137" spans="1:126">
      <c r="A137" s="365" t="s">
        <v>468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90"/>
      <c r="N137" s="309" t="s">
        <v>477</v>
      </c>
      <c r="O137" s="90"/>
      <c r="P137" s="90"/>
      <c r="Q137" s="90"/>
      <c r="R137" s="90"/>
      <c r="S137" s="90"/>
      <c r="T137" s="90"/>
      <c r="U137" s="91"/>
      <c r="V137" s="261">
        <v>1991</v>
      </c>
      <c r="W137" s="102"/>
      <c r="X137" s="102"/>
      <c r="Y137" s="102"/>
      <c r="Z137" s="102"/>
      <c r="AA137" s="103"/>
      <c r="AB137" s="291" t="s">
        <v>501</v>
      </c>
      <c r="AC137" s="295"/>
      <c r="AD137" s="295"/>
      <c r="AE137" s="295"/>
      <c r="AF137" s="296"/>
      <c r="AG137" s="262" t="s">
        <v>511</v>
      </c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1"/>
      <c r="AW137" s="262"/>
      <c r="AX137" s="90"/>
      <c r="AY137" s="90"/>
      <c r="AZ137" s="90"/>
      <c r="BA137" s="90"/>
      <c r="BB137" s="90"/>
      <c r="BC137" s="90"/>
      <c r="BD137" s="91"/>
      <c r="BE137" s="284"/>
      <c r="BF137" s="90"/>
      <c r="BG137" s="90"/>
      <c r="BH137" s="90"/>
      <c r="BI137" s="90"/>
      <c r="BJ137" s="90"/>
      <c r="BK137" s="90"/>
      <c r="BL137" s="91"/>
      <c r="BM137" s="262" t="s">
        <v>290</v>
      </c>
      <c r="BN137" s="90"/>
      <c r="BO137" s="90"/>
      <c r="BP137" s="90"/>
      <c r="BQ137" s="90"/>
      <c r="BR137" s="90"/>
      <c r="BS137" s="90"/>
      <c r="BT137" s="91"/>
      <c r="BU137" s="285" t="s">
        <v>373</v>
      </c>
      <c r="BV137" s="286"/>
      <c r="BW137" s="286"/>
      <c r="BX137" s="286"/>
      <c r="BY137" s="286"/>
      <c r="BZ137" s="286"/>
      <c r="CA137" s="286"/>
      <c r="CB137" s="286"/>
      <c r="CC137" s="284"/>
      <c r="CD137" s="90"/>
      <c r="CE137" s="90"/>
      <c r="CF137" s="90"/>
      <c r="CG137" s="90"/>
      <c r="CH137" s="90"/>
      <c r="CI137" s="90"/>
      <c r="CJ137" s="91"/>
      <c r="CK137" s="262"/>
      <c r="CL137" s="90"/>
      <c r="CM137" s="90"/>
      <c r="CN137" s="90"/>
      <c r="CO137" s="90"/>
      <c r="CP137" s="90"/>
      <c r="CQ137" s="90"/>
      <c r="CR137" s="91"/>
      <c r="CS137" s="271" t="s">
        <v>206</v>
      </c>
      <c r="CT137" s="272"/>
      <c r="CU137" s="298">
        <v>28.57</v>
      </c>
      <c r="CV137" s="298"/>
      <c r="CW137" s="298"/>
      <c r="CX137" s="298"/>
      <c r="CY137" s="298"/>
      <c r="CZ137" s="299"/>
      <c r="DA137" s="274" t="s">
        <v>206</v>
      </c>
      <c r="DB137" s="275"/>
      <c r="DC137" s="275">
        <f t="shared" si="5"/>
        <v>199.99</v>
      </c>
      <c r="DD137" s="275"/>
      <c r="DE137" s="275"/>
      <c r="DF137" s="275"/>
      <c r="DG137" s="275"/>
      <c r="DH137" s="275"/>
      <c r="DI137" s="276"/>
      <c r="DJ137" s="262" t="s">
        <v>304</v>
      </c>
      <c r="DK137" s="90"/>
      <c r="DL137" s="90"/>
      <c r="DM137" s="90"/>
      <c r="DN137" s="90"/>
      <c r="DO137" s="90"/>
      <c r="DP137" s="90"/>
      <c r="DQ137" s="90"/>
      <c r="DR137" s="90"/>
      <c r="DS137" s="90"/>
      <c r="DT137" s="263"/>
      <c r="DU137" s="49"/>
    </row>
    <row r="138" spans="1:126">
      <c r="A138" s="288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90"/>
      <c r="N138" s="309" t="s">
        <v>478</v>
      </c>
      <c r="O138" s="90"/>
      <c r="P138" s="90"/>
      <c r="Q138" s="90"/>
      <c r="R138" s="90"/>
      <c r="S138" s="90"/>
      <c r="T138" s="90"/>
      <c r="U138" s="91"/>
      <c r="V138" s="360">
        <v>38108</v>
      </c>
      <c r="W138" s="102"/>
      <c r="X138" s="102"/>
      <c r="Y138" s="102"/>
      <c r="Z138" s="102"/>
      <c r="AA138" s="103"/>
      <c r="AB138" s="291" t="s">
        <v>252</v>
      </c>
      <c r="AC138" s="295"/>
      <c r="AD138" s="295"/>
      <c r="AE138" s="295"/>
      <c r="AF138" s="296"/>
      <c r="AG138" s="362" t="s">
        <v>512</v>
      </c>
      <c r="AH138" s="363"/>
      <c r="AI138" s="363"/>
      <c r="AJ138" s="363"/>
      <c r="AK138" s="363"/>
      <c r="AL138" s="363"/>
      <c r="AM138" s="363"/>
      <c r="AN138" s="363"/>
      <c r="AO138" s="363"/>
      <c r="AP138" s="363"/>
      <c r="AQ138" s="363"/>
      <c r="AR138" s="363"/>
      <c r="AS138" s="363"/>
      <c r="AT138" s="363"/>
      <c r="AU138" s="363"/>
      <c r="AV138" s="364"/>
      <c r="AW138" s="284"/>
      <c r="AX138" s="90"/>
      <c r="AY138" s="90"/>
      <c r="AZ138" s="90"/>
      <c r="BA138" s="90"/>
      <c r="BB138" s="90"/>
      <c r="BC138" s="90"/>
      <c r="BD138" s="91"/>
      <c r="BE138" s="284"/>
      <c r="BF138" s="90"/>
      <c r="BG138" s="90"/>
      <c r="BH138" s="90"/>
      <c r="BI138" s="90"/>
      <c r="BJ138" s="90"/>
      <c r="BK138" s="90"/>
      <c r="BL138" s="91"/>
      <c r="BM138" s="262" t="s">
        <v>522</v>
      </c>
      <c r="BN138" s="90"/>
      <c r="BO138" s="90"/>
      <c r="BP138" s="90"/>
      <c r="BQ138" s="90"/>
      <c r="BR138" s="90"/>
      <c r="BS138" s="90"/>
      <c r="BT138" s="91"/>
      <c r="BU138" s="262"/>
      <c r="BV138" s="90"/>
      <c r="BW138" s="90"/>
      <c r="BX138" s="90"/>
      <c r="BY138" s="90"/>
      <c r="BZ138" s="90"/>
      <c r="CA138" s="90"/>
      <c r="CB138" s="91"/>
      <c r="CC138" s="284"/>
      <c r="CD138" s="90"/>
      <c r="CE138" s="90"/>
      <c r="CF138" s="90"/>
      <c r="CG138" s="90"/>
      <c r="CH138" s="90"/>
      <c r="CI138" s="90"/>
      <c r="CJ138" s="91"/>
      <c r="CK138" s="284"/>
      <c r="CL138" s="90"/>
      <c r="CM138" s="90"/>
      <c r="CN138" s="90"/>
      <c r="CO138" s="90"/>
      <c r="CP138" s="90"/>
      <c r="CQ138" s="90"/>
      <c r="CR138" s="91"/>
      <c r="CS138" s="271" t="s">
        <v>206</v>
      </c>
      <c r="CT138" s="272"/>
      <c r="CU138" s="298">
        <v>10000</v>
      </c>
      <c r="CV138" s="298"/>
      <c r="CW138" s="298"/>
      <c r="CX138" s="298"/>
      <c r="CY138" s="298"/>
      <c r="CZ138" s="299"/>
      <c r="DA138" s="274" t="s">
        <v>206</v>
      </c>
      <c r="DB138" s="275"/>
      <c r="DC138" s="275">
        <f t="shared" si="5"/>
        <v>10000</v>
      </c>
      <c r="DD138" s="275"/>
      <c r="DE138" s="275"/>
      <c r="DF138" s="275"/>
      <c r="DG138" s="275"/>
      <c r="DH138" s="275"/>
      <c r="DI138" s="276"/>
      <c r="DJ138" s="350" t="s">
        <v>393</v>
      </c>
      <c r="DK138" s="351"/>
      <c r="DL138" s="351"/>
      <c r="DM138" s="351"/>
      <c r="DN138" s="351"/>
      <c r="DO138" s="351"/>
      <c r="DP138" s="351"/>
      <c r="DQ138" s="351"/>
      <c r="DR138" s="351"/>
      <c r="DS138" s="351"/>
      <c r="DT138" s="352"/>
    </row>
    <row r="139" spans="1:126">
      <c r="A139" s="288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90"/>
      <c r="N139" s="309" t="s">
        <v>479</v>
      </c>
      <c r="O139" s="90"/>
      <c r="P139" s="90"/>
      <c r="Q139" s="90"/>
      <c r="R139" s="90"/>
      <c r="S139" s="90"/>
      <c r="T139" s="90"/>
      <c r="U139" s="91"/>
      <c r="V139" s="311">
        <v>38662</v>
      </c>
      <c r="W139" s="102"/>
      <c r="X139" s="102"/>
      <c r="Y139" s="102"/>
      <c r="Z139" s="102"/>
      <c r="AA139" s="103"/>
      <c r="AB139" s="291" t="s">
        <v>502</v>
      </c>
      <c r="AC139" s="295"/>
      <c r="AD139" s="295"/>
      <c r="AE139" s="295"/>
      <c r="AF139" s="296"/>
      <c r="AG139" s="262" t="s">
        <v>506</v>
      </c>
      <c r="AH139" s="314"/>
      <c r="AI139" s="314"/>
      <c r="AJ139" s="314"/>
      <c r="AK139" s="314"/>
      <c r="AL139" s="314"/>
      <c r="AM139" s="314"/>
      <c r="AN139" s="314"/>
      <c r="AO139" s="314"/>
      <c r="AP139" s="314"/>
      <c r="AQ139" s="314"/>
      <c r="AR139" s="314"/>
      <c r="AS139" s="314"/>
      <c r="AT139" s="314"/>
      <c r="AU139" s="314"/>
      <c r="AV139" s="366"/>
      <c r="AW139" s="286"/>
      <c r="AX139" s="286"/>
      <c r="AY139" s="286"/>
      <c r="AZ139" s="286"/>
      <c r="BA139" s="286"/>
      <c r="BB139" s="286"/>
      <c r="BC139" s="286"/>
      <c r="BD139" s="286"/>
      <c r="BE139" s="286"/>
      <c r="BF139" s="286"/>
      <c r="BG139" s="286"/>
      <c r="BH139" s="286"/>
      <c r="BI139" s="286"/>
      <c r="BJ139" s="286"/>
      <c r="BK139" s="286"/>
      <c r="BL139" s="286"/>
      <c r="BM139" s="285"/>
      <c r="BN139" s="286"/>
      <c r="BO139" s="286"/>
      <c r="BP139" s="286"/>
      <c r="BQ139" s="286"/>
      <c r="BR139" s="286"/>
      <c r="BS139" s="286"/>
      <c r="BT139" s="286"/>
      <c r="BU139" s="262" t="s">
        <v>373</v>
      </c>
      <c r="BV139" s="90"/>
      <c r="BW139" s="90"/>
      <c r="BX139" s="90"/>
      <c r="BY139" s="90"/>
      <c r="BZ139" s="90"/>
      <c r="CA139" s="90"/>
      <c r="CB139" s="91"/>
      <c r="CC139" s="286"/>
      <c r="CD139" s="286"/>
      <c r="CE139" s="286"/>
      <c r="CF139" s="286"/>
      <c r="CG139" s="286"/>
      <c r="CH139" s="286"/>
      <c r="CI139" s="286"/>
      <c r="CJ139" s="286"/>
      <c r="CK139" s="286"/>
      <c r="CL139" s="286"/>
      <c r="CM139" s="286"/>
      <c r="CN139" s="286"/>
      <c r="CO139" s="286"/>
      <c r="CP139" s="286"/>
      <c r="CQ139" s="286"/>
      <c r="CR139" s="286"/>
      <c r="CS139" s="271" t="s">
        <v>206</v>
      </c>
      <c r="CT139" s="272"/>
      <c r="CU139" s="298">
        <v>230</v>
      </c>
      <c r="CV139" s="298"/>
      <c r="CW139" s="298"/>
      <c r="CX139" s="298"/>
      <c r="CY139" s="298"/>
      <c r="CZ139" s="299"/>
      <c r="DA139" s="274" t="s">
        <v>206</v>
      </c>
      <c r="DB139" s="275"/>
      <c r="DC139" s="275">
        <f t="shared" si="5"/>
        <v>10350</v>
      </c>
      <c r="DD139" s="275"/>
      <c r="DE139" s="275"/>
      <c r="DF139" s="275"/>
      <c r="DG139" s="275"/>
      <c r="DH139" s="275"/>
      <c r="DI139" s="276"/>
      <c r="DJ139" s="262" t="s">
        <v>305</v>
      </c>
      <c r="DK139" s="314"/>
      <c r="DL139" s="314"/>
      <c r="DM139" s="314"/>
      <c r="DN139" s="314"/>
      <c r="DO139" s="314"/>
      <c r="DP139" s="314"/>
      <c r="DQ139" s="314"/>
      <c r="DR139" s="314"/>
      <c r="DS139" s="314"/>
      <c r="DT139" s="315"/>
    </row>
    <row r="140" spans="1:126">
      <c r="A140" s="288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90"/>
      <c r="N140" s="262" t="s">
        <v>480</v>
      </c>
      <c r="O140" s="90"/>
      <c r="P140" s="90"/>
      <c r="Q140" s="90"/>
      <c r="R140" s="90"/>
      <c r="S140" s="90"/>
      <c r="T140" s="90"/>
      <c r="U140" s="91"/>
      <c r="V140" s="297">
        <v>41000</v>
      </c>
      <c r="W140" s="377"/>
      <c r="X140" s="377"/>
      <c r="Y140" s="377"/>
      <c r="Z140" s="377"/>
      <c r="AA140" s="378"/>
      <c r="AB140" s="291" t="s">
        <v>503</v>
      </c>
      <c r="AC140" s="295"/>
      <c r="AD140" s="295"/>
      <c r="AE140" s="295"/>
      <c r="AF140" s="296"/>
      <c r="AG140" s="262" t="s">
        <v>513</v>
      </c>
      <c r="AH140" s="314"/>
      <c r="AI140" s="314"/>
      <c r="AJ140" s="314"/>
      <c r="AK140" s="314"/>
      <c r="AL140" s="314"/>
      <c r="AM140" s="314"/>
      <c r="AN140" s="314"/>
      <c r="AO140" s="314"/>
      <c r="AP140" s="314"/>
      <c r="AQ140" s="314"/>
      <c r="AR140" s="314"/>
      <c r="AS140" s="314"/>
      <c r="AT140" s="314"/>
      <c r="AU140" s="314"/>
      <c r="AV140" s="366"/>
      <c r="AW140" s="284"/>
      <c r="AX140" s="90"/>
      <c r="AY140" s="90"/>
      <c r="AZ140" s="90"/>
      <c r="BA140" s="90"/>
      <c r="BB140" s="90"/>
      <c r="BC140" s="90"/>
      <c r="BD140" s="91"/>
      <c r="BE140" s="284"/>
      <c r="BF140" s="90"/>
      <c r="BG140" s="90"/>
      <c r="BH140" s="90"/>
      <c r="BI140" s="90"/>
      <c r="BJ140" s="90"/>
      <c r="BK140" s="90"/>
      <c r="BL140" s="91"/>
      <c r="BM140" s="262" t="s">
        <v>290</v>
      </c>
      <c r="BN140" s="90"/>
      <c r="BO140" s="90"/>
      <c r="BP140" s="90"/>
      <c r="BQ140" s="90"/>
      <c r="BR140" s="90"/>
      <c r="BS140" s="90"/>
      <c r="BT140" s="91"/>
      <c r="BU140" s="285" t="s">
        <v>373</v>
      </c>
      <c r="BV140" s="286"/>
      <c r="BW140" s="286"/>
      <c r="BX140" s="286"/>
      <c r="BY140" s="286"/>
      <c r="BZ140" s="286"/>
      <c r="CA140" s="286"/>
      <c r="CB140" s="286"/>
      <c r="CC140" s="262" t="s">
        <v>524</v>
      </c>
      <c r="CD140" s="90"/>
      <c r="CE140" s="90"/>
      <c r="CF140" s="90"/>
      <c r="CG140" s="90"/>
      <c r="CH140" s="90"/>
      <c r="CI140" s="90"/>
      <c r="CJ140" s="91"/>
      <c r="CK140" s="284"/>
      <c r="CL140" s="90"/>
      <c r="CM140" s="90"/>
      <c r="CN140" s="90"/>
      <c r="CO140" s="90"/>
      <c r="CP140" s="90"/>
      <c r="CQ140" s="90"/>
      <c r="CR140" s="91"/>
      <c r="CS140" s="271" t="s">
        <v>206</v>
      </c>
      <c r="CT140" s="272"/>
      <c r="CU140" s="298">
        <v>190</v>
      </c>
      <c r="CV140" s="298"/>
      <c r="CW140" s="298"/>
      <c r="CX140" s="298"/>
      <c r="CY140" s="298"/>
      <c r="CZ140" s="299"/>
      <c r="DA140" s="274" t="s">
        <v>206</v>
      </c>
      <c r="DB140" s="275"/>
      <c r="DC140" s="275">
        <f t="shared" si="5"/>
        <v>2850</v>
      </c>
      <c r="DD140" s="275"/>
      <c r="DE140" s="275"/>
      <c r="DF140" s="275"/>
      <c r="DG140" s="275"/>
      <c r="DH140" s="275"/>
      <c r="DI140" s="276"/>
      <c r="DJ140" s="262" t="s">
        <v>305</v>
      </c>
      <c r="DK140" s="314"/>
      <c r="DL140" s="314"/>
      <c r="DM140" s="314"/>
      <c r="DN140" s="314"/>
      <c r="DO140" s="314"/>
      <c r="DP140" s="314"/>
      <c r="DQ140" s="314"/>
      <c r="DR140" s="314"/>
      <c r="DS140" s="314"/>
      <c r="DT140" s="315"/>
    </row>
    <row r="141" spans="1:126">
      <c r="A141" s="304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62" t="s">
        <v>481</v>
      </c>
      <c r="O141" s="90"/>
      <c r="P141" s="90"/>
      <c r="Q141" s="90"/>
      <c r="R141" s="90"/>
      <c r="S141" s="90"/>
      <c r="T141" s="90"/>
      <c r="U141" s="91"/>
      <c r="V141" s="297">
        <v>41000</v>
      </c>
      <c r="W141" s="377"/>
      <c r="X141" s="377"/>
      <c r="Y141" s="377"/>
      <c r="Z141" s="377"/>
      <c r="AA141" s="378"/>
      <c r="AB141" s="291" t="s">
        <v>340</v>
      </c>
      <c r="AC141" s="295"/>
      <c r="AD141" s="295"/>
      <c r="AE141" s="295"/>
      <c r="AF141" s="296"/>
      <c r="AG141" s="262" t="s">
        <v>513</v>
      </c>
      <c r="AH141" s="314"/>
      <c r="AI141" s="314"/>
      <c r="AJ141" s="314"/>
      <c r="AK141" s="314"/>
      <c r="AL141" s="314"/>
      <c r="AM141" s="314"/>
      <c r="AN141" s="314"/>
      <c r="AO141" s="314"/>
      <c r="AP141" s="314"/>
      <c r="AQ141" s="314"/>
      <c r="AR141" s="314"/>
      <c r="AS141" s="314"/>
      <c r="AT141" s="314"/>
      <c r="AU141" s="314"/>
      <c r="AV141" s="366"/>
      <c r="AW141" s="284"/>
      <c r="AX141" s="90"/>
      <c r="AY141" s="90"/>
      <c r="AZ141" s="90"/>
      <c r="BA141" s="90"/>
      <c r="BB141" s="90"/>
      <c r="BC141" s="90"/>
      <c r="BD141" s="91"/>
      <c r="BE141" s="284"/>
      <c r="BF141" s="90"/>
      <c r="BG141" s="90"/>
      <c r="BH141" s="90"/>
      <c r="BI141" s="90"/>
      <c r="BJ141" s="90"/>
      <c r="BK141" s="90"/>
      <c r="BL141" s="91"/>
      <c r="BM141" s="262" t="s">
        <v>290</v>
      </c>
      <c r="BN141" s="90"/>
      <c r="BO141" s="90"/>
      <c r="BP141" s="90"/>
      <c r="BQ141" s="90"/>
      <c r="BR141" s="90"/>
      <c r="BS141" s="90"/>
      <c r="BT141" s="91"/>
      <c r="BU141" s="285" t="s">
        <v>373</v>
      </c>
      <c r="BV141" s="286"/>
      <c r="BW141" s="286"/>
      <c r="BX141" s="286"/>
      <c r="BY141" s="286"/>
      <c r="BZ141" s="286"/>
      <c r="CA141" s="286"/>
      <c r="CB141" s="286"/>
      <c r="CC141" s="262" t="s">
        <v>525</v>
      </c>
      <c r="CD141" s="90"/>
      <c r="CE141" s="90"/>
      <c r="CF141" s="90"/>
      <c r="CG141" s="90"/>
      <c r="CH141" s="90"/>
      <c r="CI141" s="90"/>
      <c r="CJ141" s="91"/>
      <c r="CK141" s="284"/>
      <c r="CL141" s="90"/>
      <c r="CM141" s="90"/>
      <c r="CN141" s="90"/>
      <c r="CO141" s="90"/>
      <c r="CP141" s="90"/>
      <c r="CQ141" s="90"/>
      <c r="CR141" s="91"/>
      <c r="CS141" s="271" t="s">
        <v>206</v>
      </c>
      <c r="CT141" s="272"/>
      <c r="CU141" s="298">
        <v>190</v>
      </c>
      <c r="CV141" s="298"/>
      <c r="CW141" s="298"/>
      <c r="CX141" s="298"/>
      <c r="CY141" s="298"/>
      <c r="CZ141" s="299"/>
      <c r="DA141" s="274" t="s">
        <v>206</v>
      </c>
      <c r="DB141" s="275"/>
      <c r="DC141" s="275">
        <f t="shared" si="5"/>
        <v>1900</v>
      </c>
      <c r="DD141" s="275"/>
      <c r="DE141" s="275"/>
      <c r="DF141" s="275"/>
      <c r="DG141" s="275"/>
      <c r="DH141" s="275"/>
      <c r="DI141" s="276"/>
      <c r="DJ141" s="262" t="s">
        <v>305</v>
      </c>
      <c r="DK141" s="314"/>
      <c r="DL141" s="314"/>
      <c r="DM141" s="314"/>
      <c r="DN141" s="314"/>
      <c r="DO141" s="314"/>
      <c r="DP141" s="314"/>
      <c r="DQ141" s="314"/>
      <c r="DR141" s="314"/>
      <c r="DS141" s="314"/>
      <c r="DT141" s="315"/>
      <c r="DV141" s="48"/>
    </row>
    <row r="142" spans="1:126">
      <c r="A142" s="304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85" t="s">
        <v>482</v>
      </c>
      <c r="O142" s="286"/>
      <c r="P142" s="286"/>
      <c r="Q142" s="286"/>
      <c r="R142" s="286"/>
      <c r="S142" s="286"/>
      <c r="T142" s="286"/>
      <c r="U142" s="286"/>
      <c r="V142" s="297">
        <v>41000</v>
      </c>
      <c r="W142" s="377"/>
      <c r="X142" s="377"/>
      <c r="Y142" s="377"/>
      <c r="Z142" s="377"/>
      <c r="AA142" s="378"/>
      <c r="AB142" s="312" t="s">
        <v>340</v>
      </c>
      <c r="AC142" s="313"/>
      <c r="AD142" s="313"/>
      <c r="AE142" s="313"/>
      <c r="AF142" s="313"/>
      <c r="AG142" s="262" t="s">
        <v>513</v>
      </c>
      <c r="AH142" s="314"/>
      <c r="AI142" s="314"/>
      <c r="AJ142" s="314"/>
      <c r="AK142" s="314"/>
      <c r="AL142" s="314"/>
      <c r="AM142" s="314"/>
      <c r="AN142" s="314"/>
      <c r="AO142" s="314"/>
      <c r="AP142" s="314"/>
      <c r="AQ142" s="314"/>
      <c r="AR142" s="314"/>
      <c r="AS142" s="314"/>
      <c r="AT142" s="314"/>
      <c r="AU142" s="314"/>
      <c r="AV142" s="366"/>
      <c r="AW142" s="286"/>
      <c r="AX142" s="286"/>
      <c r="AY142" s="286"/>
      <c r="AZ142" s="286"/>
      <c r="BA142" s="286"/>
      <c r="BB142" s="286"/>
      <c r="BC142" s="286"/>
      <c r="BD142" s="286"/>
      <c r="BE142" s="286"/>
      <c r="BF142" s="286"/>
      <c r="BG142" s="286"/>
      <c r="BH142" s="286"/>
      <c r="BI142" s="286"/>
      <c r="BJ142" s="286"/>
      <c r="BK142" s="286"/>
      <c r="BL142" s="286"/>
      <c r="BM142" s="262" t="s">
        <v>290</v>
      </c>
      <c r="BN142" s="90"/>
      <c r="BO142" s="90"/>
      <c r="BP142" s="90"/>
      <c r="BQ142" s="90"/>
      <c r="BR142" s="90"/>
      <c r="BS142" s="90"/>
      <c r="BT142" s="91"/>
      <c r="BU142" s="262" t="s">
        <v>373</v>
      </c>
      <c r="BV142" s="90"/>
      <c r="BW142" s="90"/>
      <c r="BX142" s="90"/>
      <c r="BY142" s="90"/>
      <c r="BZ142" s="90"/>
      <c r="CA142" s="90"/>
      <c r="CB142" s="91"/>
      <c r="CC142" s="285" t="s">
        <v>526</v>
      </c>
      <c r="CD142" s="286"/>
      <c r="CE142" s="286"/>
      <c r="CF142" s="286"/>
      <c r="CG142" s="286"/>
      <c r="CH142" s="286"/>
      <c r="CI142" s="286"/>
      <c r="CJ142" s="286"/>
      <c r="CK142" s="286"/>
      <c r="CL142" s="286"/>
      <c r="CM142" s="286"/>
      <c r="CN142" s="286"/>
      <c r="CO142" s="286"/>
      <c r="CP142" s="286"/>
      <c r="CQ142" s="286"/>
      <c r="CR142" s="286"/>
      <c r="CS142" s="271" t="s">
        <v>206</v>
      </c>
      <c r="CT142" s="272"/>
      <c r="CU142" s="298">
        <v>190</v>
      </c>
      <c r="CV142" s="298"/>
      <c r="CW142" s="298"/>
      <c r="CX142" s="298"/>
      <c r="CY142" s="298"/>
      <c r="CZ142" s="299"/>
      <c r="DA142" s="274" t="s">
        <v>206</v>
      </c>
      <c r="DB142" s="275"/>
      <c r="DC142" s="275">
        <f t="shared" si="5"/>
        <v>1900</v>
      </c>
      <c r="DD142" s="275"/>
      <c r="DE142" s="275"/>
      <c r="DF142" s="275"/>
      <c r="DG142" s="275"/>
      <c r="DH142" s="275"/>
      <c r="DI142" s="276"/>
      <c r="DJ142" s="262" t="s">
        <v>305</v>
      </c>
      <c r="DK142" s="314"/>
      <c r="DL142" s="314"/>
      <c r="DM142" s="314"/>
      <c r="DN142" s="314"/>
      <c r="DO142" s="314"/>
      <c r="DP142" s="314"/>
      <c r="DQ142" s="314"/>
      <c r="DR142" s="314"/>
      <c r="DS142" s="314"/>
      <c r="DT142" s="315"/>
    </row>
    <row r="143" spans="1:126">
      <c r="A143" s="304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85" t="s">
        <v>483</v>
      </c>
      <c r="O143" s="286"/>
      <c r="P143" s="286"/>
      <c r="Q143" s="286"/>
      <c r="R143" s="286"/>
      <c r="S143" s="286"/>
      <c r="T143" s="286"/>
      <c r="U143" s="286"/>
      <c r="V143" s="297">
        <v>41000</v>
      </c>
      <c r="W143" s="377"/>
      <c r="X143" s="377"/>
      <c r="Y143" s="377"/>
      <c r="Z143" s="377"/>
      <c r="AA143" s="378"/>
      <c r="AB143" s="312" t="s">
        <v>253</v>
      </c>
      <c r="AC143" s="313"/>
      <c r="AD143" s="313"/>
      <c r="AE143" s="313"/>
      <c r="AF143" s="313"/>
      <c r="AG143" s="262" t="s">
        <v>513</v>
      </c>
      <c r="AH143" s="314"/>
      <c r="AI143" s="314"/>
      <c r="AJ143" s="314"/>
      <c r="AK143" s="314"/>
      <c r="AL143" s="314"/>
      <c r="AM143" s="314"/>
      <c r="AN143" s="314"/>
      <c r="AO143" s="314"/>
      <c r="AP143" s="314"/>
      <c r="AQ143" s="314"/>
      <c r="AR143" s="314"/>
      <c r="AS143" s="314"/>
      <c r="AT143" s="314"/>
      <c r="AU143" s="314"/>
      <c r="AV143" s="366"/>
      <c r="AW143" s="286"/>
      <c r="AX143" s="286"/>
      <c r="AY143" s="286"/>
      <c r="AZ143" s="286"/>
      <c r="BA143" s="286"/>
      <c r="BB143" s="286"/>
      <c r="BC143" s="286"/>
      <c r="BD143" s="286"/>
      <c r="BE143" s="286"/>
      <c r="BF143" s="286"/>
      <c r="BG143" s="286"/>
      <c r="BH143" s="286"/>
      <c r="BI143" s="286"/>
      <c r="BJ143" s="286"/>
      <c r="BK143" s="286"/>
      <c r="BL143" s="286"/>
      <c r="BM143" s="285" t="s">
        <v>290</v>
      </c>
      <c r="BN143" s="286"/>
      <c r="BO143" s="286"/>
      <c r="BP143" s="286"/>
      <c r="BQ143" s="286"/>
      <c r="BR143" s="286"/>
      <c r="BS143" s="286"/>
      <c r="BT143" s="286"/>
      <c r="BU143" s="285" t="s">
        <v>373</v>
      </c>
      <c r="BV143" s="286"/>
      <c r="BW143" s="286"/>
      <c r="BX143" s="286"/>
      <c r="BY143" s="286"/>
      <c r="BZ143" s="286"/>
      <c r="CA143" s="286"/>
      <c r="CB143" s="286"/>
      <c r="CC143" s="285" t="s">
        <v>527</v>
      </c>
      <c r="CD143" s="286"/>
      <c r="CE143" s="286"/>
      <c r="CF143" s="286"/>
      <c r="CG143" s="286"/>
      <c r="CH143" s="286"/>
      <c r="CI143" s="286"/>
      <c r="CJ143" s="286"/>
      <c r="CK143" s="286"/>
      <c r="CL143" s="286"/>
      <c r="CM143" s="286"/>
      <c r="CN143" s="286"/>
      <c r="CO143" s="286"/>
      <c r="CP143" s="286"/>
      <c r="CQ143" s="286"/>
      <c r="CR143" s="286"/>
      <c r="CS143" s="271" t="s">
        <v>206</v>
      </c>
      <c r="CT143" s="272"/>
      <c r="CU143" s="298">
        <v>205</v>
      </c>
      <c r="CV143" s="298"/>
      <c r="CW143" s="298"/>
      <c r="CX143" s="298"/>
      <c r="CY143" s="298"/>
      <c r="CZ143" s="299"/>
      <c r="DA143" s="274" t="s">
        <v>206</v>
      </c>
      <c r="DB143" s="275"/>
      <c r="DC143" s="275">
        <f t="shared" si="5"/>
        <v>1025</v>
      </c>
      <c r="DD143" s="275"/>
      <c r="DE143" s="275"/>
      <c r="DF143" s="275"/>
      <c r="DG143" s="275"/>
      <c r="DH143" s="275"/>
      <c r="DI143" s="276"/>
      <c r="DJ143" s="262" t="s">
        <v>305</v>
      </c>
      <c r="DK143" s="314"/>
      <c r="DL143" s="314"/>
      <c r="DM143" s="314"/>
      <c r="DN143" s="314"/>
      <c r="DO143" s="314"/>
      <c r="DP143" s="314"/>
      <c r="DQ143" s="314"/>
      <c r="DR143" s="314"/>
      <c r="DS143" s="314"/>
      <c r="DT143" s="315"/>
    </row>
    <row r="144" spans="1:126">
      <c r="A144" s="288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90"/>
      <c r="N144" s="262" t="s">
        <v>484</v>
      </c>
      <c r="O144" s="90"/>
      <c r="P144" s="90"/>
      <c r="Q144" s="90"/>
      <c r="R144" s="90"/>
      <c r="S144" s="90"/>
      <c r="T144" s="90"/>
      <c r="U144" s="91"/>
      <c r="V144" s="297">
        <v>42176</v>
      </c>
      <c r="W144" s="102"/>
      <c r="X144" s="102"/>
      <c r="Y144" s="102"/>
      <c r="Z144" s="102"/>
      <c r="AA144" s="103"/>
      <c r="AB144" s="291" t="s">
        <v>338</v>
      </c>
      <c r="AC144" s="295"/>
      <c r="AD144" s="295"/>
      <c r="AE144" s="295"/>
      <c r="AF144" s="296"/>
      <c r="AG144" s="262" t="s">
        <v>513</v>
      </c>
      <c r="AH144" s="314"/>
      <c r="AI144" s="314"/>
      <c r="AJ144" s="314"/>
      <c r="AK144" s="314"/>
      <c r="AL144" s="314"/>
      <c r="AM144" s="314"/>
      <c r="AN144" s="314"/>
      <c r="AO144" s="314"/>
      <c r="AP144" s="314"/>
      <c r="AQ144" s="314"/>
      <c r="AR144" s="314"/>
      <c r="AS144" s="314"/>
      <c r="AT144" s="314"/>
      <c r="AU144" s="314"/>
      <c r="AV144" s="366"/>
      <c r="AW144" s="262"/>
      <c r="AX144" s="90"/>
      <c r="AY144" s="90"/>
      <c r="AZ144" s="90"/>
      <c r="BA144" s="90"/>
      <c r="BB144" s="90"/>
      <c r="BC144" s="90"/>
      <c r="BD144" s="91"/>
      <c r="BE144" s="284"/>
      <c r="BF144" s="90"/>
      <c r="BG144" s="90"/>
      <c r="BH144" s="90"/>
      <c r="BI144" s="90"/>
      <c r="BJ144" s="90"/>
      <c r="BK144" s="90"/>
      <c r="BL144" s="91"/>
      <c r="BM144" s="285" t="s">
        <v>290</v>
      </c>
      <c r="BN144" s="286"/>
      <c r="BO144" s="286"/>
      <c r="BP144" s="286"/>
      <c r="BQ144" s="286"/>
      <c r="BR144" s="286"/>
      <c r="BS144" s="286"/>
      <c r="BT144" s="286"/>
      <c r="BU144" s="285" t="s">
        <v>373</v>
      </c>
      <c r="BV144" s="286"/>
      <c r="BW144" s="286"/>
      <c r="BX144" s="286"/>
      <c r="BY144" s="286"/>
      <c r="BZ144" s="286"/>
      <c r="CA144" s="286"/>
      <c r="CB144" s="286"/>
      <c r="CC144" s="284"/>
      <c r="CD144" s="90"/>
      <c r="CE144" s="90"/>
      <c r="CF144" s="90"/>
      <c r="CG144" s="90"/>
      <c r="CH144" s="90"/>
      <c r="CI144" s="90"/>
      <c r="CJ144" s="91"/>
      <c r="CK144" s="284"/>
      <c r="CL144" s="90"/>
      <c r="CM144" s="90"/>
      <c r="CN144" s="90"/>
      <c r="CO144" s="90"/>
      <c r="CP144" s="90"/>
      <c r="CQ144" s="90"/>
      <c r="CR144" s="91"/>
      <c r="CS144" s="271" t="s">
        <v>206</v>
      </c>
      <c r="CT144" s="272"/>
      <c r="CU144" s="298">
        <v>31.66</v>
      </c>
      <c r="CV144" s="298"/>
      <c r="CW144" s="298"/>
      <c r="CX144" s="298"/>
      <c r="CY144" s="298"/>
      <c r="CZ144" s="299"/>
      <c r="DA144" s="274" t="s">
        <v>206</v>
      </c>
      <c r="DB144" s="275"/>
      <c r="DC144" s="275">
        <f t="shared" si="5"/>
        <v>4749</v>
      </c>
      <c r="DD144" s="275"/>
      <c r="DE144" s="275"/>
      <c r="DF144" s="275"/>
      <c r="DG144" s="275"/>
      <c r="DH144" s="275"/>
      <c r="DI144" s="276"/>
      <c r="DJ144" s="262" t="s">
        <v>305</v>
      </c>
      <c r="DK144" s="314"/>
      <c r="DL144" s="314"/>
      <c r="DM144" s="314"/>
      <c r="DN144" s="314"/>
      <c r="DO144" s="314"/>
      <c r="DP144" s="314"/>
      <c r="DQ144" s="314"/>
      <c r="DR144" s="314"/>
      <c r="DS144" s="314"/>
      <c r="DT144" s="315"/>
      <c r="DU144" s="50"/>
    </row>
    <row r="145" spans="1:125">
      <c r="A145" s="288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90"/>
      <c r="N145" s="262" t="s">
        <v>485</v>
      </c>
      <c r="O145" s="90"/>
      <c r="P145" s="90"/>
      <c r="Q145" s="90"/>
      <c r="R145" s="90"/>
      <c r="S145" s="90"/>
      <c r="T145" s="90"/>
      <c r="U145" s="91"/>
      <c r="V145" s="297">
        <v>42246</v>
      </c>
      <c r="W145" s="102"/>
      <c r="X145" s="102"/>
      <c r="Y145" s="102"/>
      <c r="Z145" s="102"/>
      <c r="AA145" s="103"/>
      <c r="AB145" s="291" t="s">
        <v>504</v>
      </c>
      <c r="AC145" s="295"/>
      <c r="AD145" s="295"/>
      <c r="AE145" s="295"/>
      <c r="AF145" s="296"/>
      <c r="AG145" s="262" t="s">
        <v>506</v>
      </c>
      <c r="AH145" s="314"/>
      <c r="AI145" s="314"/>
      <c r="AJ145" s="314"/>
      <c r="AK145" s="314"/>
      <c r="AL145" s="314"/>
      <c r="AM145" s="314"/>
      <c r="AN145" s="314"/>
      <c r="AO145" s="314"/>
      <c r="AP145" s="314"/>
      <c r="AQ145" s="314"/>
      <c r="AR145" s="314"/>
      <c r="AS145" s="314"/>
      <c r="AT145" s="314"/>
      <c r="AU145" s="314"/>
      <c r="AV145" s="366"/>
      <c r="AW145" s="262" t="s">
        <v>361</v>
      </c>
      <c r="AX145" s="90"/>
      <c r="AY145" s="90"/>
      <c r="AZ145" s="90"/>
      <c r="BA145" s="90"/>
      <c r="BB145" s="90"/>
      <c r="BC145" s="90"/>
      <c r="BD145" s="91"/>
      <c r="BE145" s="284"/>
      <c r="BF145" s="90"/>
      <c r="BG145" s="90"/>
      <c r="BH145" s="90"/>
      <c r="BI145" s="90"/>
      <c r="BJ145" s="90"/>
      <c r="BK145" s="90"/>
      <c r="BL145" s="91"/>
      <c r="BM145" s="262" t="s">
        <v>370</v>
      </c>
      <c r="BN145" s="90"/>
      <c r="BO145" s="90"/>
      <c r="BP145" s="90"/>
      <c r="BQ145" s="90"/>
      <c r="BR145" s="90"/>
      <c r="BS145" s="90"/>
      <c r="BT145" s="91"/>
      <c r="BU145" s="285" t="s">
        <v>373</v>
      </c>
      <c r="BV145" s="286"/>
      <c r="BW145" s="286"/>
      <c r="BX145" s="286"/>
      <c r="BY145" s="286"/>
      <c r="BZ145" s="286"/>
      <c r="CA145" s="286"/>
      <c r="CB145" s="286"/>
      <c r="CC145" s="262"/>
      <c r="CD145" s="90"/>
      <c r="CE145" s="90"/>
      <c r="CF145" s="90"/>
      <c r="CG145" s="90"/>
      <c r="CH145" s="90"/>
      <c r="CI145" s="90"/>
      <c r="CJ145" s="91"/>
      <c r="CK145" s="284"/>
      <c r="CL145" s="90"/>
      <c r="CM145" s="90"/>
      <c r="CN145" s="90"/>
      <c r="CO145" s="90"/>
      <c r="CP145" s="90"/>
      <c r="CQ145" s="90"/>
      <c r="CR145" s="91"/>
      <c r="CS145" s="271" t="s">
        <v>206</v>
      </c>
      <c r="CT145" s="272"/>
      <c r="CU145" s="298">
        <v>280</v>
      </c>
      <c r="CV145" s="298"/>
      <c r="CW145" s="298"/>
      <c r="CX145" s="298"/>
      <c r="CY145" s="298"/>
      <c r="CZ145" s="299"/>
      <c r="DA145" s="274" t="s">
        <v>206</v>
      </c>
      <c r="DB145" s="275"/>
      <c r="DC145" s="275">
        <f t="shared" si="5"/>
        <v>40880</v>
      </c>
      <c r="DD145" s="275"/>
      <c r="DE145" s="275"/>
      <c r="DF145" s="275"/>
      <c r="DG145" s="275"/>
      <c r="DH145" s="275"/>
      <c r="DI145" s="276"/>
      <c r="DJ145" s="262" t="s">
        <v>305</v>
      </c>
      <c r="DK145" s="314"/>
      <c r="DL145" s="314"/>
      <c r="DM145" s="314"/>
      <c r="DN145" s="314"/>
      <c r="DO145" s="314"/>
      <c r="DP145" s="314"/>
      <c r="DQ145" s="314"/>
      <c r="DR145" s="314"/>
      <c r="DS145" s="314"/>
      <c r="DT145" s="315"/>
    </row>
    <row r="146" spans="1:125">
      <c r="A146" s="304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85" t="s">
        <v>486</v>
      </c>
      <c r="O146" s="286"/>
      <c r="P146" s="286"/>
      <c r="Q146" s="286"/>
      <c r="R146" s="286"/>
      <c r="S146" s="286"/>
      <c r="T146" s="286"/>
      <c r="U146" s="286"/>
      <c r="V146" s="297">
        <v>43844</v>
      </c>
      <c r="W146" s="102"/>
      <c r="X146" s="102"/>
      <c r="Y146" s="102"/>
      <c r="Z146" s="102"/>
      <c r="AA146" s="103"/>
      <c r="AB146" s="312" t="s">
        <v>252</v>
      </c>
      <c r="AC146" s="313"/>
      <c r="AD146" s="313"/>
      <c r="AE146" s="313"/>
      <c r="AF146" s="313"/>
      <c r="AG146" s="262" t="s">
        <v>271</v>
      </c>
      <c r="AH146" s="314"/>
      <c r="AI146" s="314"/>
      <c r="AJ146" s="314"/>
      <c r="AK146" s="314"/>
      <c r="AL146" s="314"/>
      <c r="AM146" s="314"/>
      <c r="AN146" s="314"/>
      <c r="AO146" s="314"/>
      <c r="AP146" s="314"/>
      <c r="AQ146" s="314"/>
      <c r="AR146" s="314"/>
      <c r="AS146" s="314"/>
      <c r="AT146" s="314"/>
      <c r="AU146" s="314"/>
      <c r="AV146" s="366"/>
      <c r="AW146" s="286"/>
      <c r="AX146" s="286"/>
      <c r="AY146" s="286"/>
      <c r="AZ146" s="286"/>
      <c r="BA146" s="286"/>
      <c r="BB146" s="286"/>
      <c r="BC146" s="286"/>
      <c r="BD146" s="286"/>
      <c r="BE146" s="286"/>
      <c r="BF146" s="286"/>
      <c r="BG146" s="286"/>
      <c r="BH146" s="286"/>
      <c r="BI146" s="286"/>
      <c r="BJ146" s="286"/>
      <c r="BK146" s="286"/>
      <c r="BL146" s="286"/>
      <c r="BM146" s="262"/>
      <c r="BN146" s="90"/>
      <c r="BO146" s="90"/>
      <c r="BP146" s="90"/>
      <c r="BQ146" s="90"/>
      <c r="BR146" s="90"/>
      <c r="BS146" s="90"/>
      <c r="BT146" s="91"/>
      <c r="BU146" s="262"/>
      <c r="BV146" s="90"/>
      <c r="BW146" s="90"/>
      <c r="BX146" s="90"/>
      <c r="BY146" s="90"/>
      <c r="BZ146" s="90"/>
      <c r="CA146" s="90"/>
      <c r="CB146" s="91"/>
      <c r="CC146" s="286"/>
      <c r="CD146" s="286"/>
      <c r="CE146" s="286"/>
      <c r="CF146" s="286"/>
      <c r="CG146" s="286"/>
      <c r="CH146" s="286"/>
      <c r="CI146" s="286"/>
      <c r="CJ146" s="286"/>
      <c r="CK146" s="286"/>
      <c r="CL146" s="286"/>
      <c r="CM146" s="286"/>
      <c r="CN146" s="286"/>
      <c r="CO146" s="286"/>
      <c r="CP146" s="286"/>
      <c r="CQ146" s="286"/>
      <c r="CR146" s="286"/>
      <c r="CS146" s="271" t="s">
        <v>206</v>
      </c>
      <c r="CT146" s="272"/>
      <c r="CU146" s="298">
        <v>6000</v>
      </c>
      <c r="CV146" s="298"/>
      <c r="CW146" s="298"/>
      <c r="CX146" s="298"/>
      <c r="CY146" s="298"/>
      <c r="CZ146" s="299"/>
      <c r="DA146" s="274" t="s">
        <v>206</v>
      </c>
      <c r="DB146" s="275"/>
      <c r="DC146" s="275">
        <f t="shared" si="5"/>
        <v>6000</v>
      </c>
      <c r="DD146" s="275"/>
      <c r="DE146" s="275"/>
      <c r="DF146" s="275"/>
      <c r="DG146" s="275"/>
      <c r="DH146" s="275"/>
      <c r="DI146" s="276"/>
      <c r="DJ146" s="262" t="s">
        <v>305</v>
      </c>
      <c r="DK146" s="314"/>
      <c r="DL146" s="314"/>
      <c r="DM146" s="314"/>
      <c r="DN146" s="314"/>
      <c r="DO146" s="314"/>
      <c r="DP146" s="314"/>
      <c r="DQ146" s="314"/>
      <c r="DR146" s="314"/>
      <c r="DS146" s="314"/>
      <c r="DT146" s="315"/>
    </row>
    <row r="147" spans="1:125">
      <c r="A147" s="288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90"/>
      <c r="N147" s="285" t="s">
        <v>487</v>
      </c>
      <c r="O147" s="286"/>
      <c r="P147" s="286"/>
      <c r="Q147" s="286"/>
      <c r="R147" s="286"/>
      <c r="S147" s="286"/>
      <c r="T147" s="286"/>
      <c r="U147" s="286"/>
      <c r="V147" s="297">
        <v>43844</v>
      </c>
      <c r="W147" s="102"/>
      <c r="X147" s="102"/>
      <c r="Y147" s="102"/>
      <c r="Z147" s="102"/>
      <c r="AA147" s="103"/>
      <c r="AB147" s="291" t="s">
        <v>252</v>
      </c>
      <c r="AC147" s="295"/>
      <c r="AD147" s="295"/>
      <c r="AE147" s="295"/>
      <c r="AF147" s="296"/>
      <c r="AG147" s="262" t="s">
        <v>514</v>
      </c>
      <c r="AH147" s="314"/>
      <c r="AI147" s="314"/>
      <c r="AJ147" s="314"/>
      <c r="AK147" s="314"/>
      <c r="AL147" s="314"/>
      <c r="AM147" s="314"/>
      <c r="AN147" s="314"/>
      <c r="AO147" s="314"/>
      <c r="AP147" s="314"/>
      <c r="AQ147" s="314"/>
      <c r="AR147" s="314"/>
      <c r="AS147" s="314"/>
      <c r="AT147" s="314"/>
      <c r="AU147" s="314"/>
      <c r="AV147" s="366"/>
      <c r="AW147" s="284"/>
      <c r="AX147" s="90"/>
      <c r="AY147" s="90"/>
      <c r="AZ147" s="90"/>
      <c r="BA147" s="90"/>
      <c r="BB147" s="90"/>
      <c r="BC147" s="90"/>
      <c r="BD147" s="91"/>
      <c r="BE147" s="284"/>
      <c r="BF147" s="90"/>
      <c r="BG147" s="90"/>
      <c r="BH147" s="90"/>
      <c r="BI147" s="90"/>
      <c r="BJ147" s="90"/>
      <c r="BK147" s="90"/>
      <c r="BL147" s="91"/>
      <c r="BM147" s="285"/>
      <c r="BN147" s="286"/>
      <c r="BO147" s="286"/>
      <c r="BP147" s="286"/>
      <c r="BQ147" s="286"/>
      <c r="BR147" s="286"/>
      <c r="BS147" s="286"/>
      <c r="BT147" s="286"/>
      <c r="BU147" s="262"/>
      <c r="BV147" s="90"/>
      <c r="BW147" s="90"/>
      <c r="BX147" s="90"/>
      <c r="BY147" s="90"/>
      <c r="BZ147" s="90"/>
      <c r="CA147" s="90"/>
      <c r="CB147" s="91"/>
      <c r="CC147" s="284"/>
      <c r="CD147" s="90"/>
      <c r="CE147" s="90"/>
      <c r="CF147" s="90"/>
      <c r="CG147" s="90"/>
      <c r="CH147" s="90"/>
      <c r="CI147" s="90"/>
      <c r="CJ147" s="91"/>
      <c r="CK147" s="284"/>
      <c r="CL147" s="90"/>
      <c r="CM147" s="90"/>
      <c r="CN147" s="90"/>
      <c r="CO147" s="90"/>
      <c r="CP147" s="90"/>
      <c r="CQ147" s="90"/>
      <c r="CR147" s="91"/>
      <c r="CS147" s="271" t="s">
        <v>206</v>
      </c>
      <c r="CT147" s="272"/>
      <c r="CU147" s="298">
        <v>62000</v>
      </c>
      <c r="CV147" s="298"/>
      <c r="CW147" s="298"/>
      <c r="CX147" s="298"/>
      <c r="CY147" s="298"/>
      <c r="CZ147" s="299"/>
      <c r="DA147" s="274" t="s">
        <v>206</v>
      </c>
      <c r="DB147" s="275"/>
      <c r="DC147" s="275">
        <f t="shared" si="5"/>
        <v>62000</v>
      </c>
      <c r="DD147" s="275"/>
      <c r="DE147" s="275"/>
      <c r="DF147" s="275"/>
      <c r="DG147" s="275"/>
      <c r="DH147" s="275"/>
      <c r="DI147" s="276"/>
      <c r="DJ147" s="262" t="s">
        <v>305</v>
      </c>
      <c r="DK147" s="314"/>
      <c r="DL147" s="314"/>
      <c r="DM147" s="314"/>
      <c r="DN147" s="314"/>
      <c r="DO147" s="314"/>
      <c r="DP147" s="314"/>
      <c r="DQ147" s="314"/>
      <c r="DR147" s="314"/>
      <c r="DS147" s="314"/>
      <c r="DT147" s="315"/>
    </row>
    <row r="148" spans="1:125">
      <c r="A148" s="288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90"/>
      <c r="N148" s="285" t="s">
        <v>488</v>
      </c>
      <c r="O148" s="286"/>
      <c r="P148" s="286"/>
      <c r="Q148" s="286"/>
      <c r="R148" s="286"/>
      <c r="S148" s="286"/>
      <c r="T148" s="286"/>
      <c r="U148" s="286"/>
      <c r="V148" s="297">
        <v>43844</v>
      </c>
      <c r="W148" s="102"/>
      <c r="X148" s="102"/>
      <c r="Y148" s="102"/>
      <c r="Z148" s="102"/>
      <c r="AA148" s="103"/>
      <c r="AB148" s="291" t="s">
        <v>252</v>
      </c>
      <c r="AC148" s="295"/>
      <c r="AD148" s="295"/>
      <c r="AE148" s="295"/>
      <c r="AF148" s="296"/>
      <c r="AG148" s="262" t="s">
        <v>515</v>
      </c>
      <c r="AH148" s="314"/>
      <c r="AI148" s="314"/>
      <c r="AJ148" s="314"/>
      <c r="AK148" s="314"/>
      <c r="AL148" s="314"/>
      <c r="AM148" s="314"/>
      <c r="AN148" s="314"/>
      <c r="AO148" s="314"/>
      <c r="AP148" s="314"/>
      <c r="AQ148" s="314"/>
      <c r="AR148" s="314"/>
      <c r="AS148" s="314"/>
      <c r="AT148" s="314"/>
      <c r="AU148" s="314"/>
      <c r="AV148" s="366"/>
      <c r="AW148" s="262"/>
      <c r="AX148" s="90"/>
      <c r="AY148" s="90"/>
      <c r="AZ148" s="90"/>
      <c r="BA148" s="90"/>
      <c r="BB148" s="90"/>
      <c r="BC148" s="90"/>
      <c r="BD148" s="91"/>
      <c r="BE148" s="262"/>
      <c r="BF148" s="90"/>
      <c r="BG148" s="90"/>
      <c r="BH148" s="90"/>
      <c r="BI148" s="90"/>
      <c r="BJ148" s="90"/>
      <c r="BK148" s="90"/>
      <c r="BL148" s="91"/>
      <c r="BM148" s="262"/>
      <c r="BN148" s="90"/>
      <c r="BO148" s="90"/>
      <c r="BP148" s="90"/>
      <c r="BQ148" s="90"/>
      <c r="BR148" s="90"/>
      <c r="BS148" s="90"/>
      <c r="BT148" s="91"/>
      <c r="BU148" s="262"/>
      <c r="BV148" s="90"/>
      <c r="BW148" s="90"/>
      <c r="BX148" s="90"/>
      <c r="BY148" s="90"/>
      <c r="BZ148" s="90"/>
      <c r="CA148" s="90"/>
      <c r="CB148" s="91"/>
      <c r="CC148" s="262"/>
      <c r="CD148" s="90"/>
      <c r="CE148" s="90"/>
      <c r="CF148" s="90"/>
      <c r="CG148" s="90"/>
      <c r="CH148" s="90"/>
      <c r="CI148" s="90"/>
      <c r="CJ148" s="91"/>
      <c r="CK148" s="262"/>
      <c r="CL148" s="90"/>
      <c r="CM148" s="90"/>
      <c r="CN148" s="90"/>
      <c r="CO148" s="90"/>
      <c r="CP148" s="90"/>
      <c r="CQ148" s="90"/>
      <c r="CR148" s="91"/>
      <c r="CS148" s="271" t="s">
        <v>206</v>
      </c>
      <c r="CT148" s="272"/>
      <c r="CU148" s="298">
        <v>6000</v>
      </c>
      <c r="CV148" s="298"/>
      <c r="CW148" s="298"/>
      <c r="CX148" s="298"/>
      <c r="CY148" s="298"/>
      <c r="CZ148" s="299"/>
      <c r="DA148" s="274" t="s">
        <v>206</v>
      </c>
      <c r="DB148" s="275"/>
      <c r="DC148" s="275">
        <f t="shared" si="5"/>
        <v>6000</v>
      </c>
      <c r="DD148" s="275"/>
      <c r="DE148" s="275"/>
      <c r="DF148" s="275"/>
      <c r="DG148" s="275"/>
      <c r="DH148" s="275"/>
      <c r="DI148" s="276"/>
      <c r="DJ148" s="262" t="s">
        <v>305</v>
      </c>
      <c r="DK148" s="314"/>
      <c r="DL148" s="314"/>
      <c r="DM148" s="314"/>
      <c r="DN148" s="314"/>
      <c r="DO148" s="314"/>
      <c r="DP148" s="314"/>
      <c r="DQ148" s="314"/>
      <c r="DR148" s="314"/>
      <c r="DS148" s="314"/>
      <c r="DT148" s="315"/>
    </row>
    <row r="149" spans="1:125">
      <c r="A149" s="288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90"/>
      <c r="N149" s="262" t="s">
        <v>489</v>
      </c>
      <c r="O149" s="90"/>
      <c r="P149" s="90"/>
      <c r="Q149" s="90"/>
      <c r="R149" s="90"/>
      <c r="S149" s="90"/>
      <c r="T149" s="90"/>
      <c r="U149" s="91"/>
      <c r="V149" s="297">
        <v>44095</v>
      </c>
      <c r="W149" s="102"/>
      <c r="X149" s="102"/>
      <c r="Y149" s="102"/>
      <c r="Z149" s="102"/>
      <c r="AA149" s="103"/>
      <c r="AB149" s="291" t="s">
        <v>505</v>
      </c>
      <c r="AC149" s="295"/>
      <c r="AD149" s="295"/>
      <c r="AE149" s="295"/>
      <c r="AF149" s="296"/>
      <c r="AG149" s="262" t="s">
        <v>516</v>
      </c>
      <c r="AH149" s="314"/>
      <c r="AI149" s="314"/>
      <c r="AJ149" s="314"/>
      <c r="AK149" s="314"/>
      <c r="AL149" s="314"/>
      <c r="AM149" s="314"/>
      <c r="AN149" s="314"/>
      <c r="AO149" s="314"/>
      <c r="AP149" s="314"/>
      <c r="AQ149" s="314"/>
      <c r="AR149" s="314"/>
      <c r="AS149" s="314"/>
      <c r="AT149" s="314"/>
      <c r="AU149" s="314"/>
      <c r="AV149" s="366"/>
      <c r="AW149" s="262" t="s">
        <v>361</v>
      </c>
      <c r="AX149" s="90"/>
      <c r="AY149" s="90"/>
      <c r="AZ149" s="90"/>
      <c r="BA149" s="90"/>
      <c r="BB149" s="90"/>
      <c r="BC149" s="90"/>
      <c r="BD149" s="91"/>
      <c r="BE149" s="262"/>
      <c r="BF149" s="90"/>
      <c r="BG149" s="90"/>
      <c r="BH149" s="90"/>
      <c r="BI149" s="90"/>
      <c r="BJ149" s="90"/>
      <c r="BK149" s="90"/>
      <c r="BL149" s="91"/>
      <c r="BM149" s="262" t="s">
        <v>286</v>
      </c>
      <c r="BN149" s="90"/>
      <c r="BO149" s="90"/>
      <c r="BP149" s="90"/>
      <c r="BQ149" s="90"/>
      <c r="BR149" s="90"/>
      <c r="BS149" s="90"/>
      <c r="BT149" s="91"/>
      <c r="BU149" s="285" t="s">
        <v>373</v>
      </c>
      <c r="BV149" s="286"/>
      <c r="BW149" s="286"/>
      <c r="BX149" s="286"/>
      <c r="BY149" s="286"/>
      <c r="BZ149" s="286"/>
      <c r="CA149" s="286"/>
      <c r="CB149" s="286"/>
      <c r="CC149" s="262"/>
      <c r="CD149" s="90"/>
      <c r="CE149" s="90"/>
      <c r="CF149" s="90"/>
      <c r="CG149" s="90"/>
      <c r="CH149" s="90"/>
      <c r="CI149" s="90"/>
      <c r="CJ149" s="91"/>
      <c r="CK149" s="262"/>
      <c r="CL149" s="90"/>
      <c r="CM149" s="90"/>
      <c r="CN149" s="90"/>
      <c r="CO149" s="90"/>
      <c r="CP149" s="90"/>
      <c r="CQ149" s="90"/>
      <c r="CR149" s="91"/>
      <c r="CS149" s="271" t="s">
        <v>206</v>
      </c>
      <c r="CT149" s="272"/>
      <c r="CU149" s="298">
        <v>195</v>
      </c>
      <c r="CV149" s="298"/>
      <c r="CW149" s="298"/>
      <c r="CX149" s="298"/>
      <c r="CY149" s="298"/>
      <c r="CZ149" s="299"/>
      <c r="DA149" s="274" t="s">
        <v>206</v>
      </c>
      <c r="DB149" s="275"/>
      <c r="DC149" s="275">
        <f t="shared" si="5"/>
        <v>6825</v>
      </c>
      <c r="DD149" s="275"/>
      <c r="DE149" s="275"/>
      <c r="DF149" s="275"/>
      <c r="DG149" s="275"/>
      <c r="DH149" s="275"/>
      <c r="DI149" s="276"/>
      <c r="DJ149" s="262" t="s">
        <v>305</v>
      </c>
      <c r="DK149" s="314"/>
      <c r="DL149" s="314"/>
      <c r="DM149" s="314"/>
      <c r="DN149" s="314"/>
      <c r="DO149" s="314"/>
      <c r="DP149" s="314"/>
      <c r="DQ149" s="314"/>
      <c r="DR149" s="314"/>
      <c r="DS149" s="314"/>
      <c r="DT149" s="315"/>
    </row>
    <row r="150" spans="1:125">
      <c r="A150" s="304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85" t="s">
        <v>490</v>
      </c>
      <c r="O150" s="286"/>
      <c r="P150" s="286"/>
      <c r="Q150" s="286"/>
      <c r="R150" s="286"/>
      <c r="S150" s="286"/>
      <c r="T150" s="286"/>
      <c r="U150" s="286"/>
      <c r="V150" s="297">
        <v>44095</v>
      </c>
      <c r="W150" s="102"/>
      <c r="X150" s="102"/>
      <c r="Y150" s="102"/>
      <c r="Z150" s="102"/>
      <c r="AA150" s="103"/>
      <c r="AB150" s="312" t="s">
        <v>500</v>
      </c>
      <c r="AC150" s="313"/>
      <c r="AD150" s="313"/>
      <c r="AE150" s="313"/>
      <c r="AF150" s="313"/>
      <c r="AG150" s="262" t="s">
        <v>506</v>
      </c>
      <c r="AH150" s="314"/>
      <c r="AI150" s="314"/>
      <c r="AJ150" s="314"/>
      <c r="AK150" s="314"/>
      <c r="AL150" s="314"/>
      <c r="AM150" s="314"/>
      <c r="AN150" s="314"/>
      <c r="AO150" s="314"/>
      <c r="AP150" s="314"/>
      <c r="AQ150" s="314"/>
      <c r="AR150" s="314"/>
      <c r="AS150" s="314"/>
      <c r="AT150" s="314"/>
      <c r="AU150" s="314"/>
      <c r="AV150" s="366"/>
      <c r="AW150" s="285" t="s">
        <v>361</v>
      </c>
      <c r="AX150" s="286"/>
      <c r="AY150" s="286"/>
      <c r="AZ150" s="286"/>
      <c r="BA150" s="286"/>
      <c r="BB150" s="286"/>
      <c r="BC150" s="286"/>
      <c r="BD150" s="286"/>
      <c r="BE150" s="285"/>
      <c r="BF150" s="286"/>
      <c r="BG150" s="286"/>
      <c r="BH150" s="286"/>
      <c r="BI150" s="286"/>
      <c r="BJ150" s="286"/>
      <c r="BK150" s="286"/>
      <c r="BL150" s="286"/>
      <c r="BM150" s="262" t="s">
        <v>286</v>
      </c>
      <c r="BN150" s="90"/>
      <c r="BO150" s="90"/>
      <c r="BP150" s="90"/>
      <c r="BQ150" s="90"/>
      <c r="BR150" s="90"/>
      <c r="BS150" s="90"/>
      <c r="BT150" s="91"/>
      <c r="BU150" s="285" t="s">
        <v>373</v>
      </c>
      <c r="BV150" s="286"/>
      <c r="BW150" s="286"/>
      <c r="BX150" s="286"/>
      <c r="BY150" s="286"/>
      <c r="BZ150" s="286"/>
      <c r="CA150" s="286"/>
      <c r="CB150" s="286"/>
      <c r="CC150" s="285"/>
      <c r="CD150" s="286"/>
      <c r="CE150" s="286"/>
      <c r="CF150" s="286"/>
      <c r="CG150" s="286"/>
      <c r="CH150" s="286"/>
      <c r="CI150" s="286"/>
      <c r="CJ150" s="286"/>
      <c r="CK150" s="262"/>
      <c r="CL150" s="90"/>
      <c r="CM150" s="90"/>
      <c r="CN150" s="90"/>
      <c r="CO150" s="90"/>
      <c r="CP150" s="90"/>
      <c r="CQ150" s="90"/>
      <c r="CR150" s="91"/>
      <c r="CS150" s="271" t="s">
        <v>206</v>
      </c>
      <c r="CT150" s="272"/>
      <c r="CU150" s="298">
        <v>320</v>
      </c>
      <c r="CV150" s="298"/>
      <c r="CW150" s="298"/>
      <c r="CX150" s="298"/>
      <c r="CY150" s="298"/>
      <c r="CZ150" s="299"/>
      <c r="DA150" s="274" t="s">
        <v>206</v>
      </c>
      <c r="DB150" s="275"/>
      <c r="DC150" s="275">
        <f t="shared" si="5"/>
        <v>1920</v>
      </c>
      <c r="DD150" s="275"/>
      <c r="DE150" s="275"/>
      <c r="DF150" s="275"/>
      <c r="DG150" s="275"/>
      <c r="DH150" s="275"/>
      <c r="DI150" s="276"/>
      <c r="DJ150" s="262" t="s">
        <v>305</v>
      </c>
      <c r="DK150" s="314"/>
      <c r="DL150" s="314"/>
      <c r="DM150" s="314"/>
      <c r="DN150" s="314"/>
      <c r="DO150" s="314"/>
      <c r="DP150" s="314"/>
      <c r="DQ150" s="314"/>
      <c r="DR150" s="314"/>
      <c r="DS150" s="314"/>
      <c r="DT150" s="315"/>
    </row>
    <row r="151" spans="1:125">
      <c r="A151" s="308" t="s">
        <v>215</v>
      </c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85" t="s">
        <v>491</v>
      </c>
      <c r="O151" s="286"/>
      <c r="P151" s="286"/>
      <c r="Q151" s="286"/>
      <c r="R151" s="286"/>
      <c r="S151" s="286"/>
      <c r="T151" s="286"/>
      <c r="U151" s="286"/>
      <c r="V151" s="305" t="s">
        <v>249</v>
      </c>
      <c r="W151" s="102"/>
      <c r="X151" s="102"/>
      <c r="Y151" s="102"/>
      <c r="Z151" s="102"/>
      <c r="AA151" s="103"/>
      <c r="AB151" s="312" t="s">
        <v>252</v>
      </c>
      <c r="AC151" s="313"/>
      <c r="AD151" s="313"/>
      <c r="AE151" s="313"/>
      <c r="AF151" s="313"/>
      <c r="AG151" s="379" t="s">
        <v>517</v>
      </c>
      <c r="AH151" s="379"/>
      <c r="AI151" s="379"/>
      <c r="AJ151" s="379"/>
      <c r="AK151" s="379"/>
      <c r="AL151" s="379"/>
      <c r="AM151" s="379"/>
      <c r="AN151" s="379"/>
      <c r="AO151" s="379"/>
      <c r="AP151" s="379"/>
      <c r="AQ151" s="379"/>
      <c r="AR151" s="379"/>
      <c r="AS151" s="379"/>
      <c r="AT151" s="379"/>
      <c r="AU151" s="379"/>
      <c r="AV151" s="379"/>
      <c r="AW151" s="286"/>
      <c r="AX151" s="286"/>
      <c r="AY151" s="286"/>
      <c r="AZ151" s="286"/>
      <c r="BA151" s="286"/>
      <c r="BB151" s="286"/>
      <c r="BC151" s="286"/>
      <c r="BD151" s="286"/>
      <c r="BE151" s="286"/>
      <c r="BF151" s="286"/>
      <c r="BG151" s="286"/>
      <c r="BH151" s="286"/>
      <c r="BI151" s="286"/>
      <c r="BJ151" s="286"/>
      <c r="BK151" s="286"/>
      <c r="BL151" s="286"/>
      <c r="BM151" s="285" t="s">
        <v>288</v>
      </c>
      <c r="BN151" s="286"/>
      <c r="BO151" s="286"/>
      <c r="BP151" s="286"/>
      <c r="BQ151" s="286"/>
      <c r="BR151" s="286"/>
      <c r="BS151" s="286"/>
      <c r="BT151" s="286"/>
      <c r="BU151" s="262"/>
      <c r="BV151" s="90"/>
      <c r="BW151" s="90"/>
      <c r="BX151" s="90"/>
      <c r="BY151" s="90"/>
      <c r="BZ151" s="90"/>
      <c r="CA151" s="90"/>
      <c r="CB151" s="91"/>
      <c r="CC151" s="286"/>
      <c r="CD151" s="286"/>
      <c r="CE151" s="286"/>
      <c r="CF151" s="286"/>
      <c r="CG151" s="286"/>
      <c r="CH151" s="286"/>
      <c r="CI151" s="286"/>
      <c r="CJ151" s="286"/>
      <c r="CK151" s="286"/>
      <c r="CL151" s="286"/>
      <c r="CM151" s="286"/>
      <c r="CN151" s="286"/>
      <c r="CO151" s="286"/>
      <c r="CP151" s="286"/>
      <c r="CQ151" s="286"/>
      <c r="CR151" s="286"/>
      <c r="CS151" s="271" t="s">
        <v>206</v>
      </c>
      <c r="CT151" s="272"/>
      <c r="CU151" s="298">
        <v>2994</v>
      </c>
      <c r="CV151" s="298"/>
      <c r="CW151" s="298"/>
      <c r="CX151" s="298"/>
      <c r="CY151" s="298"/>
      <c r="CZ151" s="299"/>
      <c r="DA151" s="274" t="s">
        <v>206</v>
      </c>
      <c r="DB151" s="275"/>
      <c r="DC151" s="275">
        <f t="shared" si="5"/>
        <v>2994</v>
      </c>
      <c r="DD151" s="275"/>
      <c r="DE151" s="275"/>
      <c r="DF151" s="275"/>
      <c r="DG151" s="275"/>
      <c r="DH151" s="275"/>
      <c r="DI151" s="276"/>
      <c r="DJ151" s="262" t="s">
        <v>305</v>
      </c>
      <c r="DK151" s="314"/>
      <c r="DL151" s="314"/>
      <c r="DM151" s="314"/>
      <c r="DN151" s="314"/>
      <c r="DO151" s="314"/>
      <c r="DP151" s="314"/>
      <c r="DQ151" s="314"/>
      <c r="DR151" s="314"/>
      <c r="DS151" s="314"/>
      <c r="DT151" s="315"/>
    </row>
    <row r="152" spans="1:125">
      <c r="A152" s="308" t="s">
        <v>469</v>
      </c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85" t="s">
        <v>492</v>
      </c>
      <c r="O152" s="286"/>
      <c r="P152" s="286"/>
      <c r="Q152" s="286"/>
      <c r="R152" s="286"/>
      <c r="S152" s="286"/>
      <c r="T152" s="286"/>
      <c r="U152" s="286"/>
      <c r="V152" s="297">
        <v>34413</v>
      </c>
      <c r="W152" s="102"/>
      <c r="X152" s="102"/>
      <c r="Y152" s="102"/>
      <c r="Z152" s="102"/>
      <c r="AA152" s="103"/>
      <c r="AB152" s="312" t="s">
        <v>252</v>
      </c>
      <c r="AC152" s="313"/>
      <c r="AD152" s="313"/>
      <c r="AE152" s="313"/>
      <c r="AF152" s="313"/>
      <c r="AG152" s="285" t="s">
        <v>518</v>
      </c>
      <c r="AH152" s="285"/>
      <c r="AI152" s="285"/>
      <c r="AJ152" s="285"/>
      <c r="AK152" s="285"/>
      <c r="AL152" s="285"/>
      <c r="AM152" s="285"/>
      <c r="AN152" s="285"/>
      <c r="AO152" s="285"/>
      <c r="AP152" s="285"/>
      <c r="AQ152" s="285"/>
      <c r="AR152" s="285"/>
      <c r="AS152" s="285"/>
      <c r="AT152" s="285"/>
      <c r="AU152" s="285"/>
      <c r="AV152" s="285"/>
      <c r="AW152" s="286"/>
      <c r="AX152" s="286"/>
      <c r="AY152" s="286"/>
      <c r="AZ152" s="286"/>
      <c r="BA152" s="286"/>
      <c r="BB152" s="286"/>
      <c r="BC152" s="286"/>
      <c r="BD152" s="286"/>
      <c r="BE152" s="286"/>
      <c r="BF152" s="286"/>
      <c r="BG152" s="286"/>
      <c r="BH152" s="286"/>
      <c r="BI152" s="286"/>
      <c r="BJ152" s="286"/>
      <c r="BK152" s="286"/>
      <c r="BL152" s="286"/>
      <c r="BM152" s="285" t="s">
        <v>288</v>
      </c>
      <c r="BN152" s="286"/>
      <c r="BO152" s="286"/>
      <c r="BP152" s="286"/>
      <c r="BQ152" s="286"/>
      <c r="BR152" s="286"/>
      <c r="BS152" s="286"/>
      <c r="BT152" s="286"/>
      <c r="BU152" s="285" t="s">
        <v>297</v>
      </c>
      <c r="BV152" s="286"/>
      <c r="BW152" s="286"/>
      <c r="BX152" s="286"/>
      <c r="BY152" s="286"/>
      <c r="BZ152" s="286"/>
      <c r="CA152" s="286"/>
      <c r="CB152" s="286"/>
      <c r="CC152" s="286"/>
      <c r="CD152" s="286"/>
      <c r="CE152" s="286"/>
      <c r="CF152" s="286"/>
      <c r="CG152" s="286"/>
      <c r="CH152" s="286"/>
      <c r="CI152" s="286"/>
      <c r="CJ152" s="286"/>
      <c r="CK152" s="286"/>
      <c r="CL152" s="286"/>
      <c r="CM152" s="286"/>
      <c r="CN152" s="286"/>
      <c r="CO152" s="286"/>
      <c r="CP152" s="286"/>
      <c r="CQ152" s="286"/>
      <c r="CR152" s="286"/>
      <c r="CS152" s="271" t="s">
        <v>206</v>
      </c>
      <c r="CT152" s="272"/>
      <c r="CU152" s="298">
        <v>56506.5</v>
      </c>
      <c r="CV152" s="298"/>
      <c r="CW152" s="298"/>
      <c r="CX152" s="298"/>
      <c r="CY152" s="298"/>
      <c r="CZ152" s="299"/>
      <c r="DA152" s="274" t="s">
        <v>206</v>
      </c>
      <c r="DB152" s="275"/>
      <c r="DC152" s="275">
        <f t="shared" si="5"/>
        <v>56506.5</v>
      </c>
      <c r="DD152" s="275"/>
      <c r="DE152" s="275"/>
      <c r="DF152" s="275"/>
      <c r="DG152" s="275"/>
      <c r="DH152" s="275"/>
      <c r="DI152" s="276"/>
      <c r="DJ152" s="262" t="s">
        <v>305</v>
      </c>
      <c r="DK152" s="314"/>
      <c r="DL152" s="314"/>
      <c r="DM152" s="314"/>
      <c r="DN152" s="314"/>
      <c r="DO152" s="314"/>
      <c r="DP152" s="314"/>
      <c r="DQ152" s="314"/>
      <c r="DR152" s="314"/>
      <c r="DS152" s="314"/>
      <c r="DT152" s="315"/>
    </row>
    <row r="153" spans="1:125">
      <c r="A153" s="304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85" t="s">
        <v>493</v>
      </c>
      <c r="O153" s="286"/>
      <c r="P153" s="286"/>
      <c r="Q153" s="286"/>
      <c r="R153" s="286"/>
      <c r="S153" s="286"/>
      <c r="T153" s="286"/>
      <c r="U153" s="286"/>
      <c r="V153" s="305" t="s">
        <v>249</v>
      </c>
      <c r="W153" s="102"/>
      <c r="X153" s="102"/>
      <c r="Y153" s="102"/>
      <c r="Z153" s="102"/>
      <c r="AA153" s="103"/>
      <c r="AB153" s="312" t="s">
        <v>252</v>
      </c>
      <c r="AC153" s="313"/>
      <c r="AD153" s="313"/>
      <c r="AE153" s="313"/>
      <c r="AF153" s="313"/>
      <c r="AG153" s="285" t="s">
        <v>519</v>
      </c>
      <c r="AH153" s="285"/>
      <c r="AI153" s="285"/>
      <c r="AJ153" s="285"/>
      <c r="AK153" s="285"/>
      <c r="AL153" s="285"/>
      <c r="AM153" s="285"/>
      <c r="AN153" s="285"/>
      <c r="AO153" s="285"/>
      <c r="AP153" s="285"/>
      <c r="AQ153" s="285"/>
      <c r="AR153" s="285"/>
      <c r="AS153" s="285"/>
      <c r="AT153" s="285"/>
      <c r="AU153" s="285"/>
      <c r="AV153" s="285"/>
      <c r="AW153" s="285"/>
      <c r="AX153" s="286"/>
      <c r="AY153" s="286"/>
      <c r="AZ153" s="286"/>
      <c r="BA153" s="286"/>
      <c r="BB153" s="286"/>
      <c r="BC153" s="286"/>
      <c r="BD153" s="286"/>
      <c r="BE153" s="286"/>
      <c r="BF153" s="286"/>
      <c r="BG153" s="286"/>
      <c r="BH153" s="286"/>
      <c r="BI153" s="286"/>
      <c r="BJ153" s="286"/>
      <c r="BK153" s="286"/>
      <c r="BL153" s="286"/>
      <c r="BM153" s="285" t="s">
        <v>522</v>
      </c>
      <c r="BN153" s="286"/>
      <c r="BO153" s="286"/>
      <c r="BP153" s="286"/>
      <c r="BQ153" s="286"/>
      <c r="BR153" s="286"/>
      <c r="BS153" s="286"/>
      <c r="BT153" s="286"/>
      <c r="BU153" s="285" t="s">
        <v>297</v>
      </c>
      <c r="BV153" s="286"/>
      <c r="BW153" s="286"/>
      <c r="BX153" s="286"/>
      <c r="BY153" s="286"/>
      <c r="BZ153" s="286"/>
      <c r="CA153" s="286"/>
      <c r="CB153" s="286"/>
      <c r="CC153" s="285" t="s">
        <v>528</v>
      </c>
      <c r="CD153" s="286"/>
      <c r="CE153" s="286"/>
      <c r="CF153" s="286"/>
      <c r="CG153" s="286"/>
      <c r="CH153" s="286"/>
      <c r="CI153" s="286"/>
      <c r="CJ153" s="286"/>
      <c r="CK153" s="286"/>
      <c r="CL153" s="286"/>
      <c r="CM153" s="286"/>
      <c r="CN153" s="286"/>
      <c r="CO153" s="286"/>
      <c r="CP153" s="286"/>
      <c r="CQ153" s="286"/>
      <c r="CR153" s="286"/>
      <c r="CS153" s="271" t="s">
        <v>206</v>
      </c>
      <c r="CT153" s="272"/>
      <c r="CU153" s="298">
        <v>9380</v>
      </c>
      <c r="CV153" s="298"/>
      <c r="CW153" s="298"/>
      <c r="CX153" s="298"/>
      <c r="CY153" s="298"/>
      <c r="CZ153" s="299"/>
      <c r="DA153" s="274" t="s">
        <v>206</v>
      </c>
      <c r="DB153" s="275"/>
      <c r="DC153" s="275">
        <f t="shared" si="5"/>
        <v>9380</v>
      </c>
      <c r="DD153" s="275"/>
      <c r="DE153" s="275"/>
      <c r="DF153" s="275"/>
      <c r="DG153" s="275"/>
      <c r="DH153" s="275"/>
      <c r="DI153" s="276"/>
      <c r="DJ153" s="262" t="s">
        <v>305</v>
      </c>
      <c r="DK153" s="314"/>
      <c r="DL153" s="314"/>
      <c r="DM153" s="314"/>
      <c r="DN153" s="314"/>
      <c r="DO153" s="314"/>
      <c r="DP153" s="314"/>
      <c r="DQ153" s="314"/>
      <c r="DR153" s="314"/>
      <c r="DS153" s="314"/>
      <c r="DT153" s="315"/>
    </row>
    <row r="154" spans="1:125">
      <c r="A154" s="304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85" t="s">
        <v>494</v>
      </c>
      <c r="O154" s="286"/>
      <c r="P154" s="286"/>
      <c r="Q154" s="286"/>
      <c r="R154" s="286"/>
      <c r="S154" s="286"/>
      <c r="T154" s="286"/>
      <c r="U154" s="286"/>
      <c r="V154" s="305" t="s">
        <v>497</v>
      </c>
      <c r="W154" s="102"/>
      <c r="X154" s="102"/>
      <c r="Y154" s="102"/>
      <c r="Z154" s="102"/>
      <c r="AA154" s="103"/>
      <c r="AB154" s="312" t="s">
        <v>252</v>
      </c>
      <c r="AC154" s="313"/>
      <c r="AD154" s="313"/>
      <c r="AE154" s="313"/>
      <c r="AF154" s="313"/>
      <c r="AG154" s="285" t="s">
        <v>520</v>
      </c>
      <c r="AH154" s="285"/>
      <c r="AI154" s="285"/>
      <c r="AJ154" s="285"/>
      <c r="AK154" s="285"/>
      <c r="AL154" s="285"/>
      <c r="AM154" s="285"/>
      <c r="AN154" s="285"/>
      <c r="AO154" s="285"/>
      <c r="AP154" s="285"/>
      <c r="AQ154" s="285"/>
      <c r="AR154" s="285"/>
      <c r="AS154" s="285"/>
      <c r="AT154" s="285"/>
      <c r="AU154" s="285"/>
      <c r="AV154" s="285"/>
      <c r="AW154" s="285"/>
      <c r="AX154" s="286"/>
      <c r="AY154" s="286"/>
      <c r="AZ154" s="286"/>
      <c r="BA154" s="286"/>
      <c r="BB154" s="286"/>
      <c r="BC154" s="286"/>
      <c r="BD154" s="286"/>
      <c r="BE154" s="285"/>
      <c r="BF154" s="286"/>
      <c r="BG154" s="286"/>
      <c r="BH154" s="286"/>
      <c r="BI154" s="286"/>
      <c r="BJ154" s="286"/>
      <c r="BK154" s="286"/>
      <c r="BL154" s="286"/>
      <c r="BM154" s="285" t="s">
        <v>523</v>
      </c>
      <c r="BN154" s="286"/>
      <c r="BO154" s="286"/>
      <c r="BP154" s="286"/>
      <c r="BQ154" s="286"/>
      <c r="BR154" s="286"/>
      <c r="BS154" s="286"/>
      <c r="BT154" s="286"/>
      <c r="BU154" s="285"/>
      <c r="BV154" s="286"/>
      <c r="BW154" s="286"/>
      <c r="BX154" s="286"/>
      <c r="BY154" s="286"/>
      <c r="BZ154" s="286"/>
      <c r="CA154" s="286"/>
      <c r="CB154" s="286"/>
      <c r="CC154" s="286"/>
      <c r="CD154" s="286"/>
      <c r="CE154" s="286"/>
      <c r="CF154" s="286"/>
      <c r="CG154" s="286"/>
      <c r="CH154" s="286"/>
      <c r="CI154" s="286"/>
      <c r="CJ154" s="286"/>
      <c r="CK154" s="286"/>
      <c r="CL154" s="286"/>
      <c r="CM154" s="286"/>
      <c r="CN154" s="286"/>
      <c r="CO154" s="286"/>
      <c r="CP154" s="286"/>
      <c r="CQ154" s="286"/>
      <c r="CR154" s="286"/>
      <c r="CS154" s="271" t="s">
        <v>206</v>
      </c>
      <c r="CT154" s="272"/>
      <c r="CU154" s="298">
        <v>1730</v>
      </c>
      <c r="CV154" s="298"/>
      <c r="CW154" s="298"/>
      <c r="CX154" s="298"/>
      <c r="CY154" s="298"/>
      <c r="CZ154" s="299"/>
      <c r="DA154" s="274" t="s">
        <v>206</v>
      </c>
      <c r="DB154" s="275"/>
      <c r="DC154" s="275">
        <f t="shared" si="5"/>
        <v>1730</v>
      </c>
      <c r="DD154" s="275"/>
      <c r="DE154" s="275"/>
      <c r="DF154" s="275"/>
      <c r="DG154" s="275"/>
      <c r="DH154" s="275"/>
      <c r="DI154" s="276"/>
      <c r="DJ154" s="262" t="s">
        <v>305</v>
      </c>
      <c r="DK154" s="314"/>
      <c r="DL154" s="314"/>
      <c r="DM154" s="314"/>
      <c r="DN154" s="314"/>
      <c r="DO154" s="314"/>
      <c r="DP154" s="314"/>
      <c r="DQ154" s="314"/>
      <c r="DR154" s="314"/>
      <c r="DS154" s="314"/>
      <c r="DT154" s="315"/>
    </row>
    <row r="155" spans="1:125" ht="15" thickBot="1">
      <c r="A155" s="331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21" t="s">
        <v>495</v>
      </c>
      <c r="O155" s="322"/>
      <c r="P155" s="322"/>
      <c r="Q155" s="322"/>
      <c r="R155" s="322"/>
      <c r="S155" s="322"/>
      <c r="T155" s="322"/>
      <c r="U155" s="322"/>
      <c r="V155" s="305" t="s">
        <v>497</v>
      </c>
      <c r="W155" s="102"/>
      <c r="X155" s="102"/>
      <c r="Y155" s="102"/>
      <c r="Z155" s="102"/>
      <c r="AA155" s="103"/>
      <c r="AB155" s="312" t="s">
        <v>254</v>
      </c>
      <c r="AC155" s="313"/>
      <c r="AD155" s="313"/>
      <c r="AE155" s="313"/>
      <c r="AF155" s="313"/>
      <c r="AG155" s="380" t="s">
        <v>521</v>
      </c>
      <c r="AH155" s="381"/>
      <c r="AI155" s="381"/>
      <c r="AJ155" s="381"/>
      <c r="AK155" s="381"/>
      <c r="AL155" s="381"/>
      <c r="AM155" s="381"/>
      <c r="AN155" s="381"/>
      <c r="AO155" s="381"/>
      <c r="AP155" s="381"/>
      <c r="AQ155" s="381"/>
      <c r="AR155" s="381"/>
      <c r="AS155" s="381"/>
      <c r="AT155" s="381"/>
      <c r="AU155" s="381"/>
      <c r="AV155" s="382"/>
      <c r="AW155" s="322"/>
      <c r="AX155" s="322"/>
      <c r="AY155" s="322"/>
      <c r="AZ155" s="322"/>
      <c r="BA155" s="322"/>
      <c r="BB155" s="322"/>
      <c r="BC155" s="322"/>
      <c r="BD155" s="322"/>
      <c r="BE155" s="321"/>
      <c r="BF155" s="322"/>
      <c r="BG155" s="322"/>
      <c r="BH155" s="322"/>
      <c r="BI155" s="322"/>
      <c r="BJ155" s="322"/>
      <c r="BK155" s="322"/>
      <c r="BL155" s="322"/>
      <c r="BM155" s="322"/>
      <c r="BN155" s="322"/>
      <c r="BO155" s="322"/>
      <c r="BP155" s="322"/>
      <c r="BQ155" s="322"/>
      <c r="BR155" s="322"/>
      <c r="BS155" s="322"/>
      <c r="BT155" s="322"/>
      <c r="BU155" s="322"/>
      <c r="BV155" s="322"/>
      <c r="BW155" s="322"/>
      <c r="BX155" s="322"/>
      <c r="BY155" s="322"/>
      <c r="BZ155" s="322"/>
      <c r="CA155" s="322"/>
      <c r="CB155" s="322"/>
      <c r="CC155" s="322"/>
      <c r="CD155" s="322"/>
      <c r="CE155" s="322"/>
      <c r="CF155" s="322"/>
      <c r="CG155" s="322"/>
      <c r="CH155" s="322"/>
      <c r="CI155" s="322"/>
      <c r="CJ155" s="322"/>
      <c r="CK155" s="322"/>
      <c r="CL155" s="322"/>
      <c r="CM155" s="322"/>
      <c r="CN155" s="322"/>
      <c r="CO155" s="322"/>
      <c r="CP155" s="322"/>
      <c r="CQ155" s="322"/>
      <c r="CR155" s="322"/>
      <c r="CS155" s="271" t="s">
        <v>206</v>
      </c>
      <c r="CT155" s="272"/>
      <c r="CU155" s="298">
        <v>2352</v>
      </c>
      <c r="CV155" s="298"/>
      <c r="CW155" s="298"/>
      <c r="CX155" s="298"/>
      <c r="CY155" s="298"/>
      <c r="CZ155" s="299"/>
      <c r="DA155" s="274" t="s">
        <v>206</v>
      </c>
      <c r="DB155" s="275"/>
      <c r="DC155" s="275">
        <f t="shared" si="5"/>
        <v>7056</v>
      </c>
      <c r="DD155" s="275"/>
      <c r="DE155" s="275"/>
      <c r="DF155" s="275"/>
      <c r="DG155" s="275"/>
      <c r="DH155" s="275"/>
      <c r="DI155" s="276"/>
      <c r="DJ155" s="262" t="s">
        <v>305</v>
      </c>
      <c r="DK155" s="314"/>
      <c r="DL155" s="314"/>
      <c r="DM155" s="314"/>
      <c r="DN155" s="314"/>
      <c r="DO155" s="314"/>
      <c r="DP155" s="314"/>
      <c r="DQ155" s="314"/>
      <c r="DR155" s="314"/>
      <c r="DS155" s="314"/>
      <c r="DT155" s="315"/>
    </row>
    <row r="156" spans="1:125" ht="21.6" thickBot="1">
      <c r="A156" s="3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23" t="s">
        <v>82</v>
      </c>
      <c r="Q156" s="323"/>
      <c r="R156" s="323"/>
      <c r="S156" s="323"/>
      <c r="T156" s="323"/>
      <c r="U156" s="323"/>
      <c r="V156" s="323"/>
      <c r="W156" s="323"/>
      <c r="X156" s="323"/>
      <c r="Y156" s="323"/>
      <c r="Z156" s="323"/>
      <c r="AA156" s="323"/>
      <c r="AB156" s="323"/>
      <c r="AC156" s="323"/>
      <c r="AD156" s="323"/>
      <c r="AE156" s="323"/>
      <c r="AF156" s="323"/>
      <c r="AG156" s="323"/>
      <c r="AH156" s="323"/>
      <c r="AI156" s="323"/>
      <c r="AJ156" s="323"/>
      <c r="AK156" s="323"/>
      <c r="AL156" s="323"/>
      <c r="AM156" s="323"/>
      <c r="AN156" s="323"/>
      <c r="AO156" s="323"/>
      <c r="AP156" s="323"/>
      <c r="AQ156" s="323"/>
      <c r="AR156" s="323"/>
      <c r="AS156" s="323"/>
      <c r="AT156" s="323"/>
      <c r="AU156" s="323"/>
      <c r="AV156" s="323"/>
      <c r="AW156" s="323"/>
      <c r="AX156" s="323"/>
      <c r="AY156" s="323"/>
      <c r="AZ156" s="323"/>
      <c r="BA156" s="323"/>
      <c r="BB156" s="323"/>
      <c r="BC156" s="323"/>
      <c r="BD156" s="323"/>
      <c r="BE156" s="323"/>
      <c r="BF156" s="323"/>
      <c r="BG156" s="323"/>
      <c r="BH156" s="323"/>
      <c r="BI156" s="323"/>
      <c r="BJ156" s="323"/>
      <c r="BK156" s="323"/>
      <c r="BL156" s="323"/>
      <c r="BM156" s="323"/>
      <c r="BN156" s="323"/>
      <c r="BO156" s="323"/>
      <c r="BP156" s="323"/>
      <c r="BQ156" s="323"/>
      <c r="BR156" s="323"/>
      <c r="BS156" s="323"/>
      <c r="BT156" s="323"/>
      <c r="BU156" s="323"/>
      <c r="BV156" s="323"/>
      <c r="BW156" s="323"/>
      <c r="BX156" s="323"/>
      <c r="BY156" s="323"/>
      <c r="BZ156" s="323"/>
      <c r="CA156" s="323"/>
      <c r="CB156" s="323"/>
      <c r="CC156" s="323"/>
      <c r="CD156" s="323"/>
      <c r="CE156" s="323"/>
      <c r="CF156" s="323"/>
      <c r="CG156" s="323"/>
      <c r="CH156" s="323"/>
      <c r="CI156" s="323"/>
      <c r="CJ156" s="323"/>
      <c r="CK156" s="323"/>
      <c r="CL156" s="323"/>
      <c r="CM156" s="323"/>
      <c r="CN156" s="323"/>
      <c r="CO156" s="323"/>
      <c r="CP156" s="323"/>
      <c r="CQ156" s="323"/>
      <c r="CR156" s="323"/>
      <c r="CS156" s="323"/>
      <c r="CT156" s="323"/>
      <c r="CU156" s="323"/>
      <c r="CV156" s="323"/>
      <c r="CW156" s="323"/>
      <c r="CX156" s="323"/>
      <c r="CY156" s="323"/>
      <c r="CZ156" s="14"/>
      <c r="DA156" s="327" t="s">
        <v>206</v>
      </c>
      <c r="DB156" s="328"/>
      <c r="DC156" s="329">
        <f>SUM(DA130:DI155)</f>
        <v>251682.99</v>
      </c>
      <c r="DD156" s="329"/>
      <c r="DE156" s="329"/>
      <c r="DF156" s="329"/>
      <c r="DG156" s="329"/>
      <c r="DH156" s="329"/>
      <c r="DI156" s="329"/>
      <c r="DJ156" s="329"/>
      <c r="DK156" s="329"/>
      <c r="DL156" s="329"/>
      <c r="DM156" s="329"/>
      <c r="DN156" s="329"/>
      <c r="DO156" s="329"/>
      <c r="DP156" s="329"/>
      <c r="DQ156" s="329"/>
      <c r="DR156" s="329"/>
      <c r="DS156" s="329"/>
      <c r="DT156" s="330"/>
      <c r="DU156" s="48"/>
    </row>
    <row r="157" spans="1:125" ht="20.39999999999999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324" t="s">
        <v>83</v>
      </c>
      <c r="DK157" s="324"/>
      <c r="DL157" s="324"/>
      <c r="DM157" s="324"/>
      <c r="DN157" s="324"/>
      <c r="DO157" s="324"/>
      <c r="DP157" s="325" t="s">
        <v>395</v>
      </c>
      <c r="DQ157" s="326"/>
      <c r="DR157" s="326"/>
      <c r="DS157" s="326"/>
      <c r="DT157" s="1"/>
    </row>
    <row r="162" spans="1:124" ht="16.8">
      <c r="A162" s="232" t="s">
        <v>61</v>
      </c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</row>
    <row r="163" spans="1:124" ht="21">
      <c r="A163" s="233" t="s">
        <v>4</v>
      </c>
      <c r="B163" s="234"/>
      <c r="C163" s="234"/>
      <c r="D163" s="234"/>
      <c r="E163" s="234"/>
      <c r="F163" s="2"/>
      <c r="G163" s="235" t="s">
        <v>197</v>
      </c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  <c r="AA163" s="235"/>
      <c r="AB163" s="235"/>
      <c r="AC163" s="235"/>
      <c r="AD163" s="235"/>
      <c r="AE163" s="236"/>
      <c r="AF163" s="233" t="s">
        <v>5</v>
      </c>
      <c r="AG163" s="234"/>
      <c r="AH163" s="234"/>
      <c r="AI163" s="234"/>
      <c r="AJ163" s="234"/>
      <c r="AK163" s="234"/>
      <c r="AL163" s="2"/>
      <c r="AM163" s="235" t="s">
        <v>6</v>
      </c>
      <c r="AN163" s="235"/>
      <c r="AO163" s="235"/>
      <c r="AP163" s="235"/>
      <c r="AQ163" s="235"/>
      <c r="AR163" s="235"/>
      <c r="AS163" s="235"/>
      <c r="AT163" s="235"/>
      <c r="AU163" s="235"/>
      <c r="AV163" s="235"/>
      <c r="AW163" s="235"/>
      <c r="AX163" s="235"/>
      <c r="AY163" s="235"/>
      <c r="AZ163" s="235"/>
      <c r="BA163" s="235"/>
      <c r="BB163" s="235"/>
      <c r="BC163" s="235"/>
      <c r="BD163" s="235"/>
      <c r="BE163" s="235"/>
      <c r="BF163" s="235"/>
      <c r="BG163" s="236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233" t="s">
        <v>8</v>
      </c>
      <c r="BV163" s="234"/>
      <c r="BW163" s="234"/>
      <c r="BX163" s="234"/>
      <c r="BY163" s="234"/>
      <c r="BZ163" s="2"/>
      <c r="CA163" s="237">
        <v>1009</v>
      </c>
      <c r="CB163" s="235"/>
      <c r="CC163" s="235"/>
      <c r="CD163" s="235"/>
      <c r="CE163" s="235"/>
      <c r="CF163" s="235"/>
      <c r="CG163" s="235"/>
      <c r="CH163" s="235"/>
      <c r="CI163" s="236"/>
      <c r="CJ163" s="233" t="s">
        <v>9</v>
      </c>
      <c r="CK163" s="234"/>
      <c r="CL163" s="234"/>
      <c r="CM163" s="234"/>
      <c r="CN163" s="234"/>
      <c r="CO163" s="2"/>
      <c r="CP163" s="237" t="s">
        <v>214</v>
      </c>
      <c r="CQ163" s="235"/>
      <c r="CR163" s="235"/>
      <c r="CS163" s="235"/>
      <c r="CT163" s="235"/>
      <c r="CU163" s="235"/>
      <c r="CV163" s="235"/>
      <c r="CW163" s="235"/>
      <c r="CX163" s="236"/>
      <c r="CY163" s="1"/>
      <c r="CZ163" s="1"/>
      <c r="DA163" s="1"/>
      <c r="DB163" s="1"/>
      <c r="DC163" s="1"/>
      <c r="DD163" s="1"/>
      <c r="DE163" s="1"/>
      <c r="DF163" s="1"/>
      <c r="DG163" s="233" t="s">
        <v>62</v>
      </c>
      <c r="DH163" s="234"/>
      <c r="DI163" s="234"/>
      <c r="DJ163" s="234"/>
      <c r="DK163" s="234"/>
      <c r="DL163" s="2"/>
      <c r="DM163" s="235">
        <v>2024</v>
      </c>
      <c r="DN163" s="235"/>
      <c r="DO163" s="235"/>
      <c r="DP163" s="235"/>
      <c r="DQ163" s="235"/>
      <c r="DR163" s="235"/>
      <c r="DS163" s="235"/>
      <c r="DT163" s="236"/>
    </row>
    <row r="164" spans="1:124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</row>
    <row r="165" spans="1:124" ht="20.399999999999999">
      <c r="A165" s="238" t="s">
        <v>63</v>
      </c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239"/>
      <c r="AP165" s="239"/>
      <c r="AQ165" s="239"/>
      <c r="AR165" s="239"/>
      <c r="AS165" s="239"/>
      <c r="AT165" s="239"/>
      <c r="AU165" s="239"/>
      <c r="AV165" s="239"/>
      <c r="AW165" s="239"/>
      <c r="AX165" s="239"/>
      <c r="AY165" s="239"/>
      <c r="AZ165" s="239"/>
      <c r="BA165" s="239"/>
      <c r="BB165" s="239"/>
      <c r="BC165" s="239"/>
      <c r="BD165" s="239"/>
      <c r="BE165" s="239"/>
      <c r="BF165" s="239"/>
      <c r="BG165" s="239"/>
      <c r="BH165" s="239"/>
      <c r="BI165" s="239"/>
      <c r="BJ165" s="239"/>
      <c r="BK165" s="239"/>
      <c r="BL165" s="239"/>
      <c r="BM165" s="239"/>
      <c r="BN165" s="239"/>
      <c r="BO165" s="239"/>
      <c r="BP165" s="239"/>
      <c r="BQ165" s="239"/>
      <c r="BR165" s="239"/>
      <c r="BS165" s="239"/>
      <c r="BT165" s="239"/>
      <c r="BU165" s="239"/>
      <c r="BV165" s="239"/>
      <c r="BW165" s="239"/>
      <c r="BX165" s="239"/>
      <c r="BY165" s="239"/>
      <c r="BZ165" s="239"/>
      <c r="CA165" s="239"/>
      <c r="CB165" s="239"/>
      <c r="CC165" s="239"/>
      <c r="CD165" s="239"/>
      <c r="CE165" s="239"/>
      <c r="CF165" s="239"/>
      <c r="CG165" s="239"/>
      <c r="CH165" s="239"/>
      <c r="CI165" s="239"/>
      <c r="CJ165" s="239"/>
      <c r="CK165" s="239"/>
      <c r="CL165" s="239"/>
      <c r="CM165" s="239"/>
      <c r="CN165" s="239"/>
      <c r="CO165" s="239"/>
      <c r="CP165" s="239"/>
      <c r="CQ165" s="239"/>
      <c r="CR165" s="239"/>
      <c r="CS165" s="239"/>
      <c r="CT165" s="239"/>
      <c r="CU165" s="239"/>
      <c r="CV165" s="239"/>
      <c r="CW165" s="239"/>
      <c r="CX165" s="239"/>
      <c r="CY165" s="239"/>
      <c r="CZ165" s="239"/>
      <c r="DA165" s="239"/>
      <c r="DB165" s="239"/>
      <c r="DC165" s="239"/>
      <c r="DD165" s="239"/>
      <c r="DE165" s="239"/>
      <c r="DF165" s="239"/>
      <c r="DG165" s="239"/>
      <c r="DH165" s="239"/>
      <c r="DI165" s="239"/>
      <c r="DJ165" s="239"/>
      <c r="DK165" s="239"/>
      <c r="DL165" s="239"/>
      <c r="DM165" s="239"/>
      <c r="DN165" s="239"/>
      <c r="DO165" s="239"/>
      <c r="DP165" s="239"/>
      <c r="DQ165" s="239"/>
      <c r="DR165" s="239"/>
      <c r="DS165" s="239"/>
      <c r="DT165" s="240"/>
    </row>
    <row r="166" spans="1:124" ht="15" thickBot="1">
      <c r="A166" s="241" t="s">
        <v>64</v>
      </c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  <c r="AM166" s="242"/>
      <c r="AN166" s="242"/>
      <c r="AO166" s="242"/>
      <c r="AP166" s="242"/>
      <c r="AQ166" s="242"/>
      <c r="AR166" s="242"/>
      <c r="AS166" s="242"/>
      <c r="AT166" s="242"/>
      <c r="AU166" s="242"/>
      <c r="AV166" s="242"/>
      <c r="AW166" s="242"/>
      <c r="AX166" s="242"/>
      <c r="AY166" s="242"/>
      <c r="AZ166" s="242"/>
      <c r="BA166" s="242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6"/>
    </row>
    <row r="167" spans="1:124" ht="15" thickBot="1"/>
    <row r="168" spans="1:124" ht="17.399999999999999">
      <c r="A168" s="243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5"/>
      <c r="N168" s="246"/>
      <c r="O168" s="244"/>
      <c r="P168" s="244"/>
      <c r="Q168" s="244"/>
      <c r="R168" s="244"/>
      <c r="S168" s="244"/>
      <c r="T168" s="244"/>
      <c r="U168" s="245"/>
      <c r="V168" s="247" t="s">
        <v>65</v>
      </c>
      <c r="W168" s="248"/>
      <c r="X168" s="248"/>
      <c r="Y168" s="248"/>
      <c r="Z168" s="248"/>
      <c r="AA168" s="249"/>
      <c r="AB168" s="246"/>
      <c r="AC168" s="244"/>
      <c r="AD168" s="244"/>
      <c r="AE168" s="244"/>
      <c r="AF168" s="245"/>
      <c r="AG168" s="246"/>
      <c r="AH168" s="244"/>
      <c r="AI168" s="244"/>
      <c r="AJ168" s="244"/>
      <c r="AK168" s="244"/>
      <c r="AL168" s="244"/>
      <c r="AM168" s="244"/>
      <c r="AN168" s="244"/>
      <c r="AO168" s="244"/>
      <c r="AP168" s="244"/>
      <c r="AQ168" s="244"/>
      <c r="AR168" s="244"/>
      <c r="AS168" s="244"/>
      <c r="AT168" s="244"/>
      <c r="AU168" s="244"/>
      <c r="AV168" s="245"/>
      <c r="AW168" s="250" t="s">
        <v>66</v>
      </c>
      <c r="AX168" s="251"/>
      <c r="AY168" s="251"/>
      <c r="AZ168" s="251"/>
      <c r="BA168" s="251"/>
      <c r="BB168" s="251"/>
      <c r="BC168" s="251"/>
      <c r="BD168" s="251"/>
      <c r="BE168" s="251"/>
      <c r="BF168" s="251"/>
      <c r="BG168" s="251"/>
      <c r="BH168" s="251"/>
      <c r="BI168" s="251"/>
      <c r="BJ168" s="251"/>
      <c r="BK168" s="251"/>
      <c r="BL168" s="251"/>
      <c r="BM168" s="251"/>
      <c r="BN168" s="251"/>
      <c r="BO168" s="251"/>
      <c r="BP168" s="251"/>
      <c r="BQ168" s="251"/>
      <c r="BR168" s="251"/>
      <c r="BS168" s="251"/>
      <c r="BT168" s="251"/>
      <c r="BU168" s="251"/>
      <c r="BV168" s="251"/>
      <c r="BW168" s="251"/>
      <c r="BX168" s="251"/>
      <c r="BY168" s="251"/>
      <c r="BZ168" s="251"/>
      <c r="CA168" s="251"/>
      <c r="CB168" s="251"/>
      <c r="CC168" s="251"/>
      <c r="CD168" s="251"/>
      <c r="CE168" s="251"/>
      <c r="CF168" s="251"/>
      <c r="CG168" s="251"/>
      <c r="CH168" s="251"/>
      <c r="CI168" s="251"/>
      <c r="CJ168" s="251"/>
      <c r="CK168" s="251"/>
      <c r="CL168" s="251"/>
      <c r="CM168" s="251"/>
      <c r="CN168" s="251"/>
      <c r="CO168" s="251"/>
      <c r="CP168" s="251"/>
      <c r="CQ168" s="251"/>
      <c r="CR168" s="252"/>
      <c r="CS168" s="246"/>
      <c r="CT168" s="244"/>
      <c r="CU168" s="244"/>
      <c r="CV168" s="244"/>
      <c r="CW168" s="244"/>
      <c r="CX168" s="244"/>
      <c r="CY168" s="244"/>
      <c r="CZ168" s="245"/>
      <c r="DA168" s="246"/>
      <c r="DB168" s="244"/>
      <c r="DC168" s="244"/>
      <c r="DD168" s="244"/>
      <c r="DE168" s="244"/>
      <c r="DF168" s="244"/>
      <c r="DG168" s="244"/>
      <c r="DH168" s="244"/>
      <c r="DI168" s="245"/>
      <c r="DJ168" s="246"/>
      <c r="DK168" s="244"/>
      <c r="DL168" s="244"/>
      <c r="DM168" s="244"/>
      <c r="DN168" s="244"/>
      <c r="DO168" s="244"/>
      <c r="DP168" s="244"/>
      <c r="DQ168" s="244"/>
      <c r="DR168" s="244"/>
      <c r="DS168" s="244"/>
      <c r="DT168" s="253"/>
    </row>
    <row r="169" spans="1:124">
      <c r="A169" s="264" t="s">
        <v>67</v>
      </c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8"/>
      <c r="N169" s="256" t="s">
        <v>68</v>
      </c>
      <c r="O169" s="257"/>
      <c r="P169" s="257"/>
      <c r="Q169" s="257"/>
      <c r="R169" s="257"/>
      <c r="S169" s="257"/>
      <c r="T169" s="257"/>
      <c r="U169" s="258"/>
      <c r="V169" s="265" t="s">
        <v>69</v>
      </c>
      <c r="W169" s="266"/>
      <c r="X169" s="266"/>
      <c r="Y169" s="266"/>
      <c r="Z169" s="266"/>
      <c r="AA169" s="267"/>
      <c r="AB169" s="268" t="s">
        <v>70</v>
      </c>
      <c r="AC169" s="269"/>
      <c r="AD169" s="269"/>
      <c r="AE169" s="269"/>
      <c r="AF169" s="270"/>
      <c r="AG169" s="256" t="s">
        <v>71</v>
      </c>
      <c r="AH169" s="257"/>
      <c r="AI169" s="257"/>
      <c r="AJ169" s="257"/>
      <c r="AK169" s="257"/>
      <c r="AL169" s="257"/>
      <c r="AM169" s="257"/>
      <c r="AN169" s="257"/>
      <c r="AO169" s="257"/>
      <c r="AP169" s="257"/>
      <c r="AQ169" s="257"/>
      <c r="AR169" s="257"/>
      <c r="AS169" s="257"/>
      <c r="AT169" s="257"/>
      <c r="AU169" s="257"/>
      <c r="AV169" s="258"/>
      <c r="AW169" s="283" t="s">
        <v>72</v>
      </c>
      <c r="AX169" s="254"/>
      <c r="AY169" s="254"/>
      <c r="AZ169" s="254"/>
      <c r="BA169" s="254"/>
      <c r="BB169" s="254"/>
      <c r="BC169" s="254"/>
      <c r="BD169" s="254"/>
      <c r="BE169" s="254" t="s">
        <v>73</v>
      </c>
      <c r="BF169" s="254"/>
      <c r="BG169" s="254"/>
      <c r="BH169" s="254"/>
      <c r="BI169" s="254"/>
      <c r="BJ169" s="254"/>
      <c r="BK169" s="254"/>
      <c r="BL169" s="254"/>
      <c r="BM169" s="254" t="s">
        <v>74</v>
      </c>
      <c r="BN169" s="254"/>
      <c r="BO169" s="254"/>
      <c r="BP169" s="254"/>
      <c r="BQ169" s="254"/>
      <c r="BR169" s="254"/>
      <c r="BS169" s="254"/>
      <c r="BT169" s="254"/>
      <c r="BU169" s="254" t="s">
        <v>75</v>
      </c>
      <c r="BV169" s="254"/>
      <c r="BW169" s="254"/>
      <c r="BX169" s="254"/>
      <c r="BY169" s="254"/>
      <c r="BZ169" s="254"/>
      <c r="CA169" s="254"/>
      <c r="CB169" s="254"/>
      <c r="CC169" s="254" t="s">
        <v>76</v>
      </c>
      <c r="CD169" s="254"/>
      <c r="CE169" s="254"/>
      <c r="CF169" s="254"/>
      <c r="CG169" s="254"/>
      <c r="CH169" s="254"/>
      <c r="CI169" s="254"/>
      <c r="CJ169" s="254"/>
      <c r="CK169" s="254" t="s">
        <v>77</v>
      </c>
      <c r="CL169" s="254"/>
      <c r="CM169" s="254"/>
      <c r="CN169" s="254"/>
      <c r="CO169" s="254"/>
      <c r="CP169" s="254"/>
      <c r="CQ169" s="254"/>
      <c r="CR169" s="255"/>
      <c r="CS169" s="256" t="s">
        <v>78</v>
      </c>
      <c r="CT169" s="257"/>
      <c r="CU169" s="257"/>
      <c r="CV169" s="257"/>
      <c r="CW169" s="257"/>
      <c r="CX169" s="257"/>
      <c r="CY169" s="257"/>
      <c r="CZ169" s="258"/>
      <c r="DA169" s="256" t="s">
        <v>79</v>
      </c>
      <c r="DB169" s="257"/>
      <c r="DC169" s="257"/>
      <c r="DD169" s="257"/>
      <c r="DE169" s="257"/>
      <c r="DF169" s="257"/>
      <c r="DG169" s="257"/>
      <c r="DH169" s="257"/>
      <c r="DI169" s="258"/>
      <c r="DJ169" s="256" t="s">
        <v>80</v>
      </c>
      <c r="DK169" s="257"/>
      <c r="DL169" s="257"/>
      <c r="DM169" s="257"/>
      <c r="DN169" s="257"/>
      <c r="DO169" s="257"/>
      <c r="DP169" s="257"/>
      <c r="DQ169" s="257"/>
      <c r="DR169" s="257"/>
      <c r="DS169" s="257"/>
      <c r="DT169" s="259"/>
    </row>
    <row r="170" spans="1:124">
      <c r="A170" s="288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90"/>
      <c r="N170" s="260" t="s">
        <v>530</v>
      </c>
      <c r="O170" s="102"/>
      <c r="P170" s="102"/>
      <c r="Q170" s="102"/>
      <c r="R170" s="102"/>
      <c r="S170" s="102"/>
      <c r="T170" s="102"/>
      <c r="U170" s="103"/>
      <c r="V170" s="305" t="s">
        <v>559</v>
      </c>
      <c r="W170" s="102"/>
      <c r="X170" s="102"/>
      <c r="Y170" s="102"/>
      <c r="Z170" s="102"/>
      <c r="AA170" s="103"/>
      <c r="AB170" s="280" t="s">
        <v>252</v>
      </c>
      <c r="AC170" s="281"/>
      <c r="AD170" s="281"/>
      <c r="AE170" s="281"/>
      <c r="AF170" s="282"/>
      <c r="AG170" s="260" t="s">
        <v>560</v>
      </c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3"/>
      <c r="AW170" s="261"/>
      <c r="AX170" s="102"/>
      <c r="AY170" s="102"/>
      <c r="AZ170" s="102"/>
      <c r="BA170" s="102"/>
      <c r="BB170" s="102"/>
      <c r="BC170" s="102"/>
      <c r="BD170" s="103"/>
      <c r="BE170" s="261"/>
      <c r="BF170" s="102"/>
      <c r="BG170" s="102"/>
      <c r="BH170" s="102"/>
      <c r="BI170" s="102"/>
      <c r="BJ170" s="102"/>
      <c r="BK170" s="102"/>
      <c r="BL170" s="103"/>
      <c r="BM170" s="260" t="s">
        <v>288</v>
      </c>
      <c r="BN170" s="102"/>
      <c r="BO170" s="102"/>
      <c r="BP170" s="102"/>
      <c r="BQ170" s="102"/>
      <c r="BR170" s="102"/>
      <c r="BS170" s="102"/>
      <c r="BT170" s="103"/>
      <c r="BU170" s="260"/>
      <c r="BV170" s="102"/>
      <c r="BW170" s="102"/>
      <c r="BX170" s="102"/>
      <c r="BY170" s="102"/>
      <c r="BZ170" s="102"/>
      <c r="CA170" s="102"/>
      <c r="CB170" s="103"/>
      <c r="CC170" s="261"/>
      <c r="CD170" s="102"/>
      <c r="CE170" s="102"/>
      <c r="CF170" s="102"/>
      <c r="CG170" s="102"/>
      <c r="CH170" s="102"/>
      <c r="CI170" s="102"/>
      <c r="CJ170" s="103"/>
      <c r="CK170" s="337"/>
      <c r="CL170" s="338"/>
      <c r="CM170" s="338"/>
      <c r="CN170" s="338"/>
      <c r="CO170" s="338"/>
      <c r="CP170" s="338"/>
      <c r="CQ170" s="338"/>
      <c r="CR170" s="339"/>
      <c r="CS170" s="271" t="s">
        <v>206</v>
      </c>
      <c r="CT170" s="272"/>
      <c r="CU170" s="298">
        <v>2352</v>
      </c>
      <c r="CV170" s="298"/>
      <c r="CW170" s="298"/>
      <c r="CX170" s="298"/>
      <c r="CY170" s="298"/>
      <c r="CZ170" s="299"/>
      <c r="DA170" s="274" t="s">
        <v>206</v>
      </c>
      <c r="DB170" s="275"/>
      <c r="DC170" s="275">
        <f t="shared" ref="DC170:DC195" si="6">+AB170*CU170</f>
        <v>2352</v>
      </c>
      <c r="DD170" s="275"/>
      <c r="DE170" s="275"/>
      <c r="DF170" s="275"/>
      <c r="DG170" s="275"/>
      <c r="DH170" s="275"/>
      <c r="DI170" s="276"/>
      <c r="DJ170" s="260" t="s">
        <v>305</v>
      </c>
      <c r="DK170" s="102"/>
      <c r="DL170" s="102"/>
      <c r="DM170" s="102"/>
      <c r="DN170" s="102"/>
      <c r="DO170" s="102"/>
      <c r="DP170" s="102"/>
      <c r="DQ170" s="102"/>
      <c r="DR170" s="102"/>
      <c r="DS170" s="102"/>
      <c r="DT170" s="340"/>
    </row>
    <row r="171" spans="1:124">
      <c r="A171" s="346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90"/>
      <c r="N171" s="307" t="s">
        <v>531</v>
      </c>
      <c r="O171" s="102"/>
      <c r="P171" s="102"/>
      <c r="Q171" s="102"/>
      <c r="R171" s="102"/>
      <c r="S171" s="102"/>
      <c r="T171" s="102"/>
      <c r="U171" s="103"/>
      <c r="V171" s="297">
        <v>38592</v>
      </c>
      <c r="W171" s="102"/>
      <c r="X171" s="102"/>
      <c r="Y171" s="102"/>
      <c r="Z171" s="102"/>
      <c r="AA171" s="103"/>
      <c r="AB171" s="280" t="s">
        <v>252</v>
      </c>
      <c r="AC171" s="281"/>
      <c r="AD171" s="281"/>
      <c r="AE171" s="281"/>
      <c r="AF171" s="282"/>
      <c r="AG171" s="262" t="s">
        <v>561</v>
      </c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1"/>
      <c r="AW171" s="284"/>
      <c r="AX171" s="90"/>
      <c r="AY171" s="90"/>
      <c r="AZ171" s="90"/>
      <c r="BA171" s="90"/>
      <c r="BB171" s="90"/>
      <c r="BC171" s="90"/>
      <c r="BD171" s="91"/>
      <c r="BE171" s="284"/>
      <c r="BF171" s="90"/>
      <c r="BG171" s="90"/>
      <c r="BH171" s="90"/>
      <c r="BI171" s="90"/>
      <c r="BJ171" s="90"/>
      <c r="BK171" s="90"/>
      <c r="BL171" s="91"/>
      <c r="BM171" s="262" t="s">
        <v>286</v>
      </c>
      <c r="BN171" s="90"/>
      <c r="BO171" s="90"/>
      <c r="BP171" s="90"/>
      <c r="BQ171" s="90"/>
      <c r="BR171" s="90"/>
      <c r="BS171" s="90"/>
      <c r="BT171" s="91"/>
      <c r="BU171" s="262" t="s">
        <v>292</v>
      </c>
      <c r="BV171" s="90"/>
      <c r="BW171" s="90"/>
      <c r="BX171" s="90"/>
      <c r="BY171" s="90"/>
      <c r="BZ171" s="90"/>
      <c r="CA171" s="90"/>
      <c r="CB171" s="91"/>
      <c r="CC171" s="284"/>
      <c r="CD171" s="90"/>
      <c r="CE171" s="90"/>
      <c r="CF171" s="90"/>
      <c r="CG171" s="90"/>
      <c r="CH171" s="90"/>
      <c r="CI171" s="90"/>
      <c r="CJ171" s="91"/>
      <c r="CK171" s="284"/>
      <c r="CL171" s="90"/>
      <c r="CM171" s="90"/>
      <c r="CN171" s="90"/>
      <c r="CO171" s="90"/>
      <c r="CP171" s="90"/>
      <c r="CQ171" s="90"/>
      <c r="CR171" s="91"/>
      <c r="CS171" s="271" t="s">
        <v>206</v>
      </c>
      <c r="CT171" s="272"/>
      <c r="CU171" s="298">
        <v>500</v>
      </c>
      <c r="CV171" s="298"/>
      <c r="CW171" s="298"/>
      <c r="CX171" s="298"/>
      <c r="CY171" s="298"/>
      <c r="CZ171" s="299"/>
      <c r="DA171" s="274" t="s">
        <v>206</v>
      </c>
      <c r="DB171" s="275"/>
      <c r="DC171" s="275">
        <f t="shared" si="6"/>
        <v>500</v>
      </c>
      <c r="DD171" s="275"/>
      <c r="DE171" s="275"/>
      <c r="DF171" s="275"/>
      <c r="DG171" s="275"/>
      <c r="DH171" s="275"/>
      <c r="DI171" s="276"/>
      <c r="DJ171" s="260" t="s">
        <v>305</v>
      </c>
      <c r="DK171" s="102"/>
      <c r="DL171" s="102"/>
      <c r="DM171" s="102"/>
      <c r="DN171" s="102"/>
      <c r="DO171" s="102"/>
      <c r="DP171" s="102"/>
      <c r="DQ171" s="102"/>
      <c r="DR171" s="102"/>
      <c r="DS171" s="102"/>
      <c r="DT171" s="340"/>
    </row>
    <row r="172" spans="1:124">
      <c r="A172" s="306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90"/>
      <c r="N172" s="307" t="s">
        <v>532</v>
      </c>
      <c r="O172" s="102"/>
      <c r="P172" s="102"/>
      <c r="Q172" s="102"/>
      <c r="R172" s="102"/>
      <c r="S172" s="102"/>
      <c r="T172" s="102"/>
      <c r="U172" s="103"/>
      <c r="V172" s="297">
        <v>38592</v>
      </c>
      <c r="W172" s="102"/>
      <c r="X172" s="102"/>
      <c r="Y172" s="102"/>
      <c r="Z172" s="102"/>
      <c r="AA172" s="103"/>
      <c r="AB172" s="280" t="s">
        <v>252</v>
      </c>
      <c r="AC172" s="281"/>
      <c r="AD172" s="281"/>
      <c r="AE172" s="281"/>
      <c r="AF172" s="282"/>
      <c r="AG172" s="262" t="s">
        <v>561</v>
      </c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1"/>
      <c r="AW172" s="284"/>
      <c r="AX172" s="90"/>
      <c r="AY172" s="90"/>
      <c r="AZ172" s="90"/>
      <c r="BA172" s="90"/>
      <c r="BB172" s="90"/>
      <c r="BC172" s="90"/>
      <c r="BD172" s="91"/>
      <c r="BE172" s="284"/>
      <c r="BF172" s="90"/>
      <c r="BG172" s="90"/>
      <c r="BH172" s="90"/>
      <c r="BI172" s="90"/>
      <c r="BJ172" s="90"/>
      <c r="BK172" s="90"/>
      <c r="BL172" s="91"/>
      <c r="BM172" s="262" t="s">
        <v>286</v>
      </c>
      <c r="BN172" s="90"/>
      <c r="BO172" s="90"/>
      <c r="BP172" s="90"/>
      <c r="BQ172" s="90"/>
      <c r="BR172" s="90"/>
      <c r="BS172" s="90"/>
      <c r="BT172" s="91"/>
      <c r="BU172" s="262" t="s">
        <v>292</v>
      </c>
      <c r="BV172" s="90"/>
      <c r="BW172" s="90"/>
      <c r="BX172" s="90"/>
      <c r="BY172" s="90"/>
      <c r="BZ172" s="90"/>
      <c r="CA172" s="90"/>
      <c r="CB172" s="91"/>
      <c r="CC172" s="284"/>
      <c r="CD172" s="90"/>
      <c r="CE172" s="90"/>
      <c r="CF172" s="90"/>
      <c r="CG172" s="90"/>
      <c r="CH172" s="90"/>
      <c r="CI172" s="90"/>
      <c r="CJ172" s="91"/>
      <c r="CK172" s="284"/>
      <c r="CL172" s="90"/>
      <c r="CM172" s="90"/>
      <c r="CN172" s="90"/>
      <c r="CO172" s="90"/>
      <c r="CP172" s="90"/>
      <c r="CQ172" s="90"/>
      <c r="CR172" s="91"/>
      <c r="CS172" s="271" t="s">
        <v>206</v>
      </c>
      <c r="CT172" s="272"/>
      <c r="CU172" s="298">
        <v>500</v>
      </c>
      <c r="CV172" s="298"/>
      <c r="CW172" s="298"/>
      <c r="CX172" s="298"/>
      <c r="CY172" s="298"/>
      <c r="CZ172" s="299"/>
      <c r="DA172" s="274" t="s">
        <v>206</v>
      </c>
      <c r="DB172" s="275"/>
      <c r="DC172" s="275">
        <f t="shared" si="6"/>
        <v>500</v>
      </c>
      <c r="DD172" s="275"/>
      <c r="DE172" s="275"/>
      <c r="DF172" s="275"/>
      <c r="DG172" s="275"/>
      <c r="DH172" s="275"/>
      <c r="DI172" s="276"/>
      <c r="DJ172" s="260" t="s">
        <v>305</v>
      </c>
      <c r="DK172" s="102"/>
      <c r="DL172" s="102"/>
      <c r="DM172" s="102"/>
      <c r="DN172" s="102"/>
      <c r="DO172" s="102"/>
      <c r="DP172" s="102"/>
      <c r="DQ172" s="102"/>
      <c r="DR172" s="102"/>
      <c r="DS172" s="102"/>
      <c r="DT172" s="340"/>
    </row>
    <row r="173" spans="1:124">
      <c r="A173" s="308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307" t="s">
        <v>533</v>
      </c>
      <c r="O173" s="102"/>
      <c r="P173" s="102"/>
      <c r="Q173" s="102"/>
      <c r="R173" s="102"/>
      <c r="S173" s="102"/>
      <c r="T173" s="102"/>
      <c r="U173" s="103"/>
      <c r="V173" s="297">
        <v>39383</v>
      </c>
      <c r="W173" s="102"/>
      <c r="X173" s="102"/>
      <c r="Y173" s="102"/>
      <c r="Z173" s="102"/>
      <c r="AA173" s="103"/>
      <c r="AB173" s="280" t="s">
        <v>252</v>
      </c>
      <c r="AC173" s="281"/>
      <c r="AD173" s="281"/>
      <c r="AE173" s="281"/>
      <c r="AF173" s="282"/>
      <c r="AG173" s="285" t="s">
        <v>562</v>
      </c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5" t="s">
        <v>580</v>
      </c>
      <c r="AX173" s="286"/>
      <c r="AY173" s="286"/>
      <c r="AZ173" s="286"/>
      <c r="BA173" s="286"/>
      <c r="BB173" s="286"/>
      <c r="BC173" s="286"/>
      <c r="BD173" s="286"/>
      <c r="BE173" s="285"/>
      <c r="BF173" s="286"/>
      <c r="BG173" s="286"/>
      <c r="BH173" s="286"/>
      <c r="BI173" s="286"/>
      <c r="BJ173" s="286"/>
      <c r="BK173" s="286"/>
      <c r="BL173" s="286"/>
      <c r="BM173" s="285" t="s">
        <v>589</v>
      </c>
      <c r="BN173" s="286"/>
      <c r="BO173" s="286"/>
      <c r="BP173" s="286"/>
      <c r="BQ173" s="286"/>
      <c r="BR173" s="286"/>
      <c r="BS173" s="286"/>
      <c r="BT173" s="286"/>
      <c r="BU173" s="285"/>
      <c r="BV173" s="286"/>
      <c r="BW173" s="286"/>
      <c r="BX173" s="286"/>
      <c r="BY173" s="286"/>
      <c r="BZ173" s="286"/>
      <c r="CA173" s="286"/>
      <c r="CB173" s="286"/>
      <c r="CC173" s="286"/>
      <c r="CD173" s="286"/>
      <c r="CE173" s="286"/>
      <c r="CF173" s="286"/>
      <c r="CG173" s="286"/>
      <c r="CH173" s="286"/>
      <c r="CI173" s="286"/>
      <c r="CJ173" s="286"/>
      <c r="CK173" s="341">
        <v>935285</v>
      </c>
      <c r="CL173" s="342"/>
      <c r="CM173" s="342"/>
      <c r="CN173" s="342"/>
      <c r="CO173" s="342"/>
      <c r="CP173" s="342"/>
      <c r="CQ173" s="342"/>
      <c r="CR173" s="343"/>
      <c r="CS173" s="271" t="s">
        <v>206</v>
      </c>
      <c r="CT173" s="272"/>
      <c r="CU173" s="298">
        <v>14300</v>
      </c>
      <c r="CV173" s="298"/>
      <c r="CW173" s="298"/>
      <c r="CX173" s="298"/>
      <c r="CY173" s="298"/>
      <c r="CZ173" s="299"/>
      <c r="DA173" s="274" t="s">
        <v>206</v>
      </c>
      <c r="DB173" s="275"/>
      <c r="DC173" s="275">
        <f t="shared" si="6"/>
        <v>14300</v>
      </c>
      <c r="DD173" s="275"/>
      <c r="DE173" s="275"/>
      <c r="DF173" s="275"/>
      <c r="DG173" s="275"/>
      <c r="DH173" s="275"/>
      <c r="DI173" s="276"/>
      <c r="DJ173" s="285" t="s">
        <v>304</v>
      </c>
      <c r="DK173" s="286"/>
      <c r="DL173" s="286"/>
      <c r="DM173" s="286"/>
      <c r="DN173" s="286"/>
      <c r="DO173" s="286"/>
      <c r="DP173" s="286"/>
      <c r="DQ173" s="286"/>
      <c r="DR173" s="286"/>
      <c r="DS173" s="286"/>
      <c r="DT173" s="287"/>
    </row>
    <row r="174" spans="1:124">
      <c r="A174" s="304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307" t="s">
        <v>534</v>
      </c>
      <c r="O174" s="102"/>
      <c r="P174" s="102"/>
      <c r="Q174" s="102"/>
      <c r="R174" s="102"/>
      <c r="S174" s="102"/>
      <c r="T174" s="102"/>
      <c r="U174" s="103"/>
      <c r="V174" s="297">
        <v>39453</v>
      </c>
      <c r="W174" s="102"/>
      <c r="X174" s="102"/>
      <c r="Y174" s="102"/>
      <c r="Z174" s="102"/>
      <c r="AA174" s="103"/>
      <c r="AB174" s="280" t="s">
        <v>252</v>
      </c>
      <c r="AC174" s="281"/>
      <c r="AD174" s="281"/>
      <c r="AE174" s="281"/>
      <c r="AF174" s="282"/>
      <c r="AG174" s="285" t="s">
        <v>563</v>
      </c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  <c r="AV174" s="286"/>
      <c r="AW174" s="285"/>
      <c r="AX174" s="286"/>
      <c r="AY174" s="286"/>
      <c r="AZ174" s="286"/>
      <c r="BA174" s="286"/>
      <c r="BB174" s="286"/>
      <c r="BC174" s="286"/>
      <c r="BD174" s="286"/>
      <c r="BE174" s="286"/>
      <c r="BF174" s="286"/>
      <c r="BG174" s="286"/>
      <c r="BH174" s="286"/>
      <c r="BI174" s="286"/>
      <c r="BJ174" s="286"/>
      <c r="BK174" s="286"/>
      <c r="BL174" s="286"/>
      <c r="BM174" s="285" t="s">
        <v>522</v>
      </c>
      <c r="BN174" s="286"/>
      <c r="BO174" s="286"/>
      <c r="BP174" s="286"/>
      <c r="BQ174" s="286"/>
      <c r="BR174" s="286"/>
      <c r="BS174" s="286"/>
      <c r="BT174" s="286"/>
      <c r="BU174" s="285" t="s">
        <v>297</v>
      </c>
      <c r="BV174" s="286"/>
      <c r="BW174" s="286"/>
      <c r="BX174" s="286"/>
      <c r="BY174" s="286"/>
      <c r="BZ174" s="286"/>
      <c r="CA174" s="286"/>
      <c r="CB174" s="286"/>
      <c r="CC174" s="285" t="s">
        <v>300</v>
      </c>
      <c r="CD174" s="286"/>
      <c r="CE174" s="286"/>
      <c r="CF174" s="286"/>
      <c r="CG174" s="286"/>
      <c r="CH174" s="286"/>
      <c r="CI174" s="286"/>
      <c r="CJ174" s="286"/>
      <c r="CK174" s="341"/>
      <c r="CL174" s="342"/>
      <c r="CM174" s="342"/>
      <c r="CN174" s="342"/>
      <c r="CO174" s="342"/>
      <c r="CP174" s="342"/>
      <c r="CQ174" s="342"/>
      <c r="CR174" s="343"/>
      <c r="CS174" s="271" t="s">
        <v>206</v>
      </c>
      <c r="CT174" s="272"/>
      <c r="CU174" s="298">
        <v>3000</v>
      </c>
      <c r="CV174" s="298"/>
      <c r="CW174" s="298"/>
      <c r="CX174" s="298"/>
      <c r="CY174" s="298"/>
      <c r="CZ174" s="299"/>
      <c r="DA174" s="274" t="s">
        <v>206</v>
      </c>
      <c r="DB174" s="275"/>
      <c r="DC174" s="275">
        <f t="shared" si="6"/>
        <v>3000</v>
      </c>
      <c r="DD174" s="275"/>
      <c r="DE174" s="275"/>
      <c r="DF174" s="275"/>
      <c r="DG174" s="275"/>
      <c r="DH174" s="275"/>
      <c r="DI174" s="276"/>
      <c r="DJ174" s="285" t="s">
        <v>305</v>
      </c>
      <c r="DK174" s="286"/>
      <c r="DL174" s="286"/>
      <c r="DM174" s="286"/>
      <c r="DN174" s="286"/>
      <c r="DO174" s="286"/>
      <c r="DP174" s="286"/>
      <c r="DQ174" s="286"/>
      <c r="DR174" s="286"/>
      <c r="DS174" s="286"/>
      <c r="DT174" s="287"/>
    </row>
    <row r="175" spans="1:124">
      <c r="A175" s="304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307" t="s">
        <v>535</v>
      </c>
      <c r="O175" s="102"/>
      <c r="P175" s="102"/>
      <c r="Q175" s="102"/>
      <c r="R175" s="102"/>
      <c r="S175" s="102"/>
      <c r="T175" s="102"/>
      <c r="U175" s="103"/>
      <c r="V175" s="297">
        <v>39453</v>
      </c>
      <c r="W175" s="102"/>
      <c r="X175" s="102"/>
      <c r="Y175" s="102"/>
      <c r="Z175" s="102"/>
      <c r="AA175" s="103"/>
      <c r="AB175" s="280" t="s">
        <v>252</v>
      </c>
      <c r="AC175" s="281"/>
      <c r="AD175" s="281"/>
      <c r="AE175" s="281"/>
      <c r="AF175" s="282"/>
      <c r="AG175" s="262" t="s">
        <v>564</v>
      </c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1"/>
      <c r="AW175" s="262"/>
      <c r="AX175" s="90"/>
      <c r="AY175" s="90"/>
      <c r="AZ175" s="90"/>
      <c r="BA175" s="90"/>
      <c r="BB175" s="90"/>
      <c r="BC175" s="90"/>
      <c r="BD175" s="91"/>
      <c r="BE175" s="284"/>
      <c r="BF175" s="90"/>
      <c r="BG175" s="90"/>
      <c r="BH175" s="90"/>
      <c r="BI175" s="90"/>
      <c r="BJ175" s="90"/>
      <c r="BK175" s="90"/>
      <c r="BL175" s="91"/>
      <c r="BM175" s="262" t="s">
        <v>522</v>
      </c>
      <c r="BN175" s="90"/>
      <c r="BO175" s="90"/>
      <c r="BP175" s="90"/>
      <c r="BQ175" s="90"/>
      <c r="BR175" s="90"/>
      <c r="BS175" s="90"/>
      <c r="BT175" s="91"/>
      <c r="BU175" s="262" t="s">
        <v>373</v>
      </c>
      <c r="BV175" s="90"/>
      <c r="BW175" s="90"/>
      <c r="BX175" s="90"/>
      <c r="BY175" s="90"/>
      <c r="BZ175" s="90"/>
      <c r="CA175" s="90"/>
      <c r="CB175" s="91"/>
      <c r="CC175" s="262"/>
      <c r="CD175" s="90"/>
      <c r="CE175" s="90"/>
      <c r="CF175" s="90"/>
      <c r="CG175" s="90"/>
      <c r="CH175" s="90"/>
      <c r="CI175" s="90"/>
      <c r="CJ175" s="91"/>
      <c r="CK175" s="341"/>
      <c r="CL175" s="342"/>
      <c r="CM175" s="342"/>
      <c r="CN175" s="342"/>
      <c r="CO175" s="342"/>
      <c r="CP175" s="342"/>
      <c r="CQ175" s="342"/>
      <c r="CR175" s="343"/>
      <c r="CS175" s="271" t="s">
        <v>206</v>
      </c>
      <c r="CT175" s="272"/>
      <c r="CU175" s="298">
        <v>800</v>
      </c>
      <c r="CV175" s="298"/>
      <c r="CW175" s="298"/>
      <c r="CX175" s="298"/>
      <c r="CY175" s="298"/>
      <c r="CZ175" s="299"/>
      <c r="DA175" s="274" t="s">
        <v>206</v>
      </c>
      <c r="DB175" s="275"/>
      <c r="DC175" s="275">
        <f t="shared" si="6"/>
        <v>800</v>
      </c>
      <c r="DD175" s="275"/>
      <c r="DE175" s="275"/>
      <c r="DF175" s="275"/>
      <c r="DG175" s="275"/>
      <c r="DH175" s="275"/>
      <c r="DI175" s="276"/>
      <c r="DJ175" s="262" t="s">
        <v>304</v>
      </c>
      <c r="DK175" s="90"/>
      <c r="DL175" s="90"/>
      <c r="DM175" s="90"/>
      <c r="DN175" s="90"/>
      <c r="DO175" s="90"/>
      <c r="DP175" s="90"/>
      <c r="DQ175" s="90"/>
      <c r="DR175" s="90"/>
      <c r="DS175" s="90"/>
      <c r="DT175" s="263"/>
    </row>
    <row r="176" spans="1:124">
      <c r="A176" s="306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90"/>
      <c r="N176" s="307" t="s">
        <v>536</v>
      </c>
      <c r="O176" s="102"/>
      <c r="P176" s="102"/>
      <c r="Q176" s="102"/>
      <c r="R176" s="102"/>
      <c r="S176" s="102"/>
      <c r="T176" s="102"/>
      <c r="U176" s="103"/>
      <c r="V176" s="297">
        <v>40419</v>
      </c>
      <c r="W176" s="102"/>
      <c r="X176" s="102"/>
      <c r="Y176" s="102"/>
      <c r="Z176" s="102"/>
      <c r="AA176" s="103"/>
      <c r="AB176" s="280" t="s">
        <v>252</v>
      </c>
      <c r="AC176" s="281"/>
      <c r="AD176" s="281"/>
      <c r="AE176" s="281"/>
      <c r="AF176" s="282"/>
      <c r="AG176" s="341" t="s">
        <v>565</v>
      </c>
      <c r="AH176" s="342"/>
      <c r="AI176" s="342"/>
      <c r="AJ176" s="342"/>
      <c r="AK176" s="342"/>
      <c r="AL176" s="342"/>
      <c r="AM176" s="342"/>
      <c r="AN176" s="342"/>
      <c r="AO176" s="342"/>
      <c r="AP176" s="342"/>
      <c r="AQ176" s="342"/>
      <c r="AR176" s="342"/>
      <c r="AS176" s="342"/>
      <c r="AT176" s="342"/>
      <c r="AU176" s="342"/>
      <c r="AV176" s="343"/>
      <c r="AW176" s="284"/>
      <c r="AX176" s="90"/>
      <c r="AY176" s="90"/>
      <c r="AZ176" s="90"/>
      <c r="BA176" s="90"/>
      <c r="BB176" s="90"/>
      <c r="BC176" s="90"/>
      <c r="BD176" s="91"/>
      <c r="BE176" s="284"/>
      <c r="BF176" s="90"/>
      <c r="BG176" s="90"/>
      <c r="BH176" s="90"/>
      <c r="BI176" s="90"/>
      <c r="BJ176" s="90"/>
      <c r="BK176" s="90"/>
      <c r="BL176" s="91"/>
      <c r="BM176" s="262" t="s">
        <v>590</v>
      </c>
      <c r="BN176" s="90"/>
      <c r="BO176" s="90"/>
      <c r="BP176" s="90"/>
      <c r="BQ176" s="90"/>
      <c r="BR176" s="90"/>
      <c r="BS176" s="90"/>
      <c r="BT176" s="91"/>
      <c r="BU176" s="262"/>
      <c r="BV176" s="90"/>
      <c r="BW176" s="90"/>
      <c r="BX176" s="90"/>
      <c r="BY176" s="90"/>
      <c r="BZ176" s="90"/>
      <c r="CA176" s="90"/>
      <c r="CB176" s="91"/>
      <c r="CC176" s="262"/>
      <c r="CD176" s="90"/>
      <c r="CE176" s="90"/>
      <c r="CF176" s="90"/>
      <c r="CG176" s="90"/>
      <c r="CH176" s="90"/>
      <c r="CI176" s="90"/>
      <c r="CJ176" s="91"/>
      <c r="CK176" s="284"/>
      <c r="CL176" s="90"/>
      <c r="CM176" s="90"/>
      <c r="CN176" s="90"/>
      <c r="CO176" s="90"/>
      <c r="CP176" s="90"/>
      <c r="CQ176" s="90"/>
      <c r="CR176" s="91"/>
      <c r="CS176" s="271" t="s">
        <v>206</v>
      </c>
      <c r="CT176" s="272"/>
      <c r="CU176" s="298">
        <v>12700</v>
      </c>
      <c r="CV176" s="298"/>
      <c r="CW176" s="298"/>
      <c r="CX176" s="298"/>
      <c r="CY176" s="298"/>
      <c r="CZ176" s="299"/>
      <c r="DA176" s="274" t="s">
        <v>206</v>
      </c>
      <c r="DB176" s="275"/>
      <c r="DC176" s="275">
        <f t="shared" si="6"/>
        <v>12700</v>
      </c>
      <c r="DD176" s="275"/>
      <c r="DE176" s="275"/>
      <c r="DF176" s="275"/>
      <c r="DG176" s="275"/>
      <c r="DH176" s="275"/>
      <c r="DI176" s="276"/>
      <c r="DJ176" s="262" t="s">
        <v>305</v>
      </c>
      <c r="DK176" s="90"/>
      <c r="DL176" s="90"/>
      <c r="DM176" s="90"/>
      <c r="DN176" s="90"/>
      <c r="DO176" s="90"/>
      <c r="DP176" s="90"/>
      <c r="DQ176" s="90"/>
      <c r="DR176" s="90"/>
      <c r="DS176" s="90"/>
      <c r="DT176" s="263"/>
    </row>
    <row r="177" spans="1:124">
      <c r="A177" s="346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90"/>
      <c r="N177" s="307" t="s">
        <v>537</v>
      </c>
      <c r="O177" s="102"/>
      <c r="P177" s="102"/>
      <c r="Q177" s="102"/>
      <c r="R177" s="102"/>
      <c r="S177" s="102"/>
      <c r="T177" s="102"/>
      <c r="U177" s="103"/>
      <c r="V177" s="297">
        <v>42064</v>
      </c>
      <c r="W177" s="102"/>
      <c r="X177" s="102"/>
      <c r="Y177" s="102"/>
      <c r="Z177" s="102"/>
      <c r="AA177" s="103"/>
      <c r="AB177" s="280" t="s">
        <v>252</v>
      </c>
      <c r="AC177" s="281"/>
      <c r="AD177" s="281"/>
      <c r="AE177" s="281"/>
      <c r="AF177" s="282"/>
      <c r="AG177" s="262" t="s">
        <v>443</v>
      </c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1"/>
      <c r="AW177" s="262"/>
      <c r="AX177" s="90"/>
      <c r="AY177" s="90"/>
      <c r="AZ177" s="90"/>
      <c r="BA177" s="90"/>
      <c r="BB177" s="90"/>
      <c r="BC177" s="90"/>
      <c r="BD177" s="91"/>
      <c r="BE177" s="284"/>
      <c r="BF177" s="90"/>
      <c r="BG177" s="90"/>
      <c r="BH177" s="90"/>
      <c r="BI177" s="90"/>
      <c r="BJ177" s="90"/>
      <c r="BK177" s="90"/>
      <c r="BL177" s="91"/>
      <c r="BM177" s="367" t="s">
        <v>591</v>
      </c>
      <c r="BN177" s="368"/>
      <c r="BO177" s="368"/>
      <c r="BP177" s="368"/>
      <c r="BQ177" s="368"/>
      <c r="BR177" s="368"/>
      <c r="BS177" s="368"/>
      <c r="BT177" s="369"/>
      <c r="BU177" s="262"/>
      <c r="BV177" s="90"/>
      <c r="BW177" s="90"/>
      <c r="BX177" s="90"/>
      <c r="BY177" s="90"/>
      <c r="BZ177" s="90"/>
      <c r="CA177" s="90"/>
      <c r="CB177" s="91"/>
      <c r="CC177" s="284"/>
      <c r="CD177" s="90"/>
      <c r="CE177" s="90"/>
      <c r="CF177" s="90"/>
      <c r="CG177" s="90"/>
      <c r="CH177" s="90"/>
      <c r="CI177" s="90"/>
      <c r="CJ177" s="91"/>
      <c r="CK177" s="262"/>
      <c r="CL177" s="90"/>
      <c r="CM177" s="90"/>
      <c r="CN177" s="90"/>
      <c r="CO177" s="90"/>
      <c r="CP177" s="90"/>
      <c r="CQ177" s="90"/>
      <c r="CR177" s="91"/>
      <c r="CS177" s="271" t="s">
        <v>206</v>
      </c>
      <c r="CT177" s="272"/>
      <c r="CU177" s="298">
        <v>3500</v>
      </c>
      <c r="CV177" s="298"/>
      <c r="CW177" s="298"/>
      <c r="CX177" s="298"/>
      <c r="CY177" s="298"/>
      <c r="CZ177" s="299"/>
      <c r="DA177" s="274" t="s">
        <v>206</v>
      </c>
      <c r="DB177" s="275"/>
      <c r="DC177" s="275">
        <f t="shared" si="6"/>
        <v>3500</v>
      </c>
      <c r="DD177" s="275"/>
      <c r="DE177" s="275"/>
      <c r="DF177" s="275"/>
      <c r="DG177" s="275"/>
      <c r="DH177" s="275"/>
      <c r="DI177" s="276"/>
      <c r="DJ177" s="262" t="s">
        <v>305</v>
      </c>
      <c r="DK177" s="90"/>
      <c r="DL177" s="90"/>
      <c r="DM177" s="90"/>
      <c r="DN177" s="90"/>
      <c r="DO177" s="90"/>
      <c r="DP177" s="90"/>
      <c r="DQ177" s="90"/>
      <c r="DR177" s="90"/>
      <c r="DS177" s="90"/>
      <c r="DT177" s="263"/>
    </row>
    <row r="178" spans="1:124" ht="15" customHeight="1">
      <c r="A178" s="288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90"/>
      <c r="N178" s="307" t="s">
        <v>538</v>
      </c>
      <c r="O178" s="102"/>
      <c r="P178" s="102"/>
      <c r="Q178" s="102"/>
      <c r="R178" s="102"/>
      <c r="S178" s="102"/>
      <c r="T178" s="102"/>
      <c r="U178" s="103"/>
      <c r="V178" s="297">
        <v>42281</v>
      </c>
      <c r="W178" s="102"/>
      <c r="X178" s="102"/>
      <c r="Y178" s="102"/>
      <c r="Z178" s="102"/>
      <c r="AA178" s="103"/>
      <c r="AB178" s="280" t="s">
        <v>252</v>
      </c>
      <c r="AC178" s="281"/>
      <c r="AD178" s="281"/>
      <c r="AE178" s="281"/>
      <c r="AF178" s="282"/>
      <c r="AG178" s="285" t="s">
        <v>562</v>
      </c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6"/>
      <c r="AU178" s="286"/>
      <c r="AV178" s="286"/>
      <c r="AW178" s="262" t="s">
        <v>580</v>
      </c>
      <c r="AX178" s="90"/>
      <c r="AY178" s="90"/>
      <c r="AZ178" s="90"/>
      <c r="BA178" s="90"/>
      <c r="BB178" s="90"/>
      <c r="BC178" s="90"/>
      <c r="BD178" s="91"/>
      <c r="BE178" s="284"/>
      <c r="BF178" s="90"/>
      <c r="BG178" s="90"/>
      <c r="BH178" s="90"/>
      <c r="BI178" s="90"/>
      <c r="BJ178" s="90"/>
      <c r="BK178" s="90"/>
      <c r="BL178" s="91"/>
      <c r="BM178" s="262"/>
      <c r="BN178" s="90"/>
      <c r="BO178" s="90"/>
      <c r="BP178" s="90"/>
      <c r="BQ178" s="90"/>
      <c r="BR178" s="90"/>
      <c r="BS178" s="90"/>
      <c r="BT178" s="91"/>
      <c r="BU178" s="262"/>
      <c r="BV178" s="90"/>
      <c r="BW178" s="90"/>
      <c r="BX178" s="90"/>
      <c r="BY178" s="90"/>
      <c r="BZ178" s="90"/>
      <c r="CA178" s="90"/>
      <c r="CB178" s="91"/>
      <c r="CC178" s="284"/>
      <c r="CD178" s="90"/>
      <c r="CE178" s="90"/>
      <c r="CF178" s="90"/>
      <c r="CG178" s="90"/>
      <c r="CH178" s="90"/>
      <c r="CI178" s="90"/>
      <c r="CJ178" s="91"/>
      <c r="CK178" s="284"/>
      <c r="CL178" s="90"/>
      <c r="CM178" s="90"/>
      <c r="CN178" s="90"/>
      <c r="CO178" s="90"/>
      <c r="CP178" s="90"/>
      <c r="CQ178" s="90"/>
      <c r="CR178" s="91"/>
      <c r="CS178" s="271" t="s">
        <v>206</v>
      </c>
      <c r="CT178" s="272"/>
      <c r="CU178" s="298">
        <v>11500</v>
      </c>
      <c r="CV178" s="298"/>
      <c r="CW178" s="298"/>
      <c r="CX178" s="298"/>
      <c r="CY178" s="298"/>
      <c r="CZ178" s="299"/>
      <c r="DA178" s="274" t="s">
        <v>206</v>
      </c>
      <c r="DB178" s="275"/>
      <c r="DC178" s="275">
        <f t="shared" si="6"/>
        <v>11500</v>
      </c>
      <c r="DD178" s="275"/>
      <c r="DE178" s="275"/>
      <c r="DF178" s="275"/>
      <c r="DG178" s="275"/>
      <c r="DH178" s="275"/>
      <c r="DI178" s="276"/>
      <c r="DJ178" s="262" t="s">
        <v>305</v>
      </c>
      <c r="DK178" s="90"/>
      <c r="DL178" s="90"/>
      <c r="DM178" s="90"/>
      <c r="DN178" s="90"/>
      <c r="DO178" s="90"/>
      <c r="DP178" s="90"/>
      <c r="DQ178" s="90"/>
      <c r="DR178" s="90"/>
      <c r="DS178" s="90"/>
      <c r="DT178" s="263"/>
    </row>
    <row r="179" spans="1:124">
      <c r="A179" s="288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90"/>
      <c r="N179" s="307" t="s">
        <v>539</v>
      </c>
      <c r="O179" s="102"/>
      <c r="P179" s="102"/>
      <c r="Q179" s="102"/>
      <c r="R179" s="102"/>
      <c r="S179" s="102"/>
      <c r="T179" s="102"/>
      <c r="U179" s="103"/>
      <c r="V179" s="297">
        <v>42422</v>
      </c>
      <c r="W179" s="102"/>
      <c r="X179" s="102"/>
      <c r="Y179" s="102"/>
      <c r="Z179" s="102"/>
      <c r="AA179" s="103"/>
      <c r="AB179" s="280" t="s">
        <v>252</v>
      </c>
      <c r="AC179" s="281"/>
      <c r="AD179" s="281"/>
      <c r="AE179" s="281"/>
      <c r="AF179" s="282"/>
      <c r="AG179" s="262" t="s">
        <v>514</v>
      </c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1"/>
      <c r="AW179" s="285" t="s">
        <v>581</v>
      </c>
      <c r="AX179" s="286"/>
      <c r="AY179" s="286"/>
      <c r="AZ179" s="286"/>
      <c r="BA179" s="286"/>
      <c r="BB179" s="286"/>
      <c r="BC179" s="286"/>
      <c r="BD179" s="286"/>
      <c r="BE179" s="286"/>
      <c r="BF179" s="286"/>
      <c r="BG179" s="286"/>
      <c r="BH179" s="286"/>
      <c r="BI179" s="286"/>
      <c r="BJ179" s="286"/>
      <c r="BK179" s="286"/>
      <c r="BL179" s="286"/>
      <c r="BM179" s="285"/>
      <c r="BN179" s="286"/>
      <c r="BO179" s="286"/>
      <c r="BP179" s="286"/>
      <c r="BQ179" s="286"/>
      <c r="BR179" s="286"/>
      <c r="BS179" s="286"/>
      <c r="BT179" s="286"/>
      <c r="BU179" s="285"/>
      <c r="BV179" s="286"/>
      <c r="BW179" s="286"/>
      <c r="BX179" s="286"/>
      <c r="BY179" s="286"/>
      <c r="BZ179" s="286"/>
      <c r="CA179" s="286"/>
      <c r="CB179" s="286"/>
      <c r="CC179" s="285" t="s">
        <v>601</v>
      </c>
      <c r="CD179" s="286"/>
      <c r="CE179" s="286"/>
      <c r="CF179" s="286"/>
      <c r="CG179" s="286"/>
      <c r="CH179" s="286"/>
      <c r="CI179" s="286"/>
      <c r="CJ179" s="286"/>
      <c r="CK179" s="286"/>
      <c r="CL179" s="286"/>
      <c r="CM179" s="286"/>
      <c r="CN179" s="286"/>
      <c r="CO179" s="286"/>
      <c r="CP179" s="286"/>
      <c r="CQ179" s="286"/>
      <c r="CR179" s="286"/>
      <c r="CS179" s="271" t="s">
        <v>206</v>
      </c>
      <c r="CT179" s="272"/>
      <c r="CU179" s="298">
        <v>11000</v>
      </c>
      <c r="CV179" s="298"/>
      <c r="CW179" s="298"/>
      <c r="CX179" s="298"/>
      <c r="CY179" s="298"/>
      <c r="CZ179" s="299"/>
      <c r="DA179" s="274" t="s">
        <v>206</v>
      </c>
      <c r="DB179" s="275"/>
      <c r="DC179" s="275">
        <f t="shared" si="6"/>
        <v>11000</v>
      </c>
      <c r="DD179" s="275"/>
      <c r="DE179" s="275"/>
      <c r="DF179" s="275"/>
      <c r="DG179" s="275"/>
      <c r="DH179" s="275"/>
      <c r="DI179" s="276"/>
      <c r="DJ179" s="262" t="s">
        <v>305</v>
      </c>
      <c r="DK179" s="90"/>
      <c r="DL179" s="90"/>
      <c r="DM179" s="90"/>
      <c r="DN179" s="90"/>
      <c r="DO179" s="90"/>
      <c r="DP179" s="90"/>
      <c r="DQ179" s="90"/>
      <c r="DR179" s="90"/>
      <c r="DS179" s="90"/>
      <c r="DT179" s="263"/>
    </row>
    <row r="180" spans="1:124">
      <c r="A180" s="288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90"/>
      <c r="N180" s="262" t="s">
        <v>540</v>
      </c>
      <c r="O180" s="90"/>
      <c r="P180" s="90"/>
      <c r="Q180" s="90"/>
      <c r="R180" s="90"/>
      <c r="S180" s="90"/>
      <c r="T180" s="90"/>
      <c r="U180" s="91"/>
      <c r="V180" s="297">
        <v>37759</v>
      </c>
      <c r="W180" s="102"/>
      <c r="X180" s="102"/>
      <c r="Y180" s="102"/>
      <c r="Z180" s="102"/>
      <c r="AA180" s="103"/>
      <c r="AB180" s="280" t="s">
        <v>252</v>
      </c>
      <c r="AC180" s="281"/>
      <c r="AD180" s="281"/>
      <c r="AE180" s="281"/>
      <c r="AF180" s="282"/>
      <c r="AG180" s="262" t="s">
        <v>566</v>
      </c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1"/>
      <c r="AW180" s="262" t="s">
        <v>582</v>
      </c>
      <c r="AX180" s="90"/>
      <c r="AY180" s="90"/>
      <c r="AZ180" s="90"/>
      <c r="BA180" s="90"/>
      <c r="BB180" s="90"/>
      <c r="BC180" s="90"/>
      <c r="BD180" s="91"/>
      <c r="BE180" s="262" t="s">
        <v>586</v>
      </c>
      <c r="BF180" s="90"/>
      <c r="BG180" s="90"/>
      <c r="BH180" s="90"/>
      <c r="BI180" s="90"/>
      <c r="BJ180" s="90"/>
      <c r="BK180" s="90"/>
      <c r="BL180" s="91"/>
      <c r="BM180" s="262" t="s">
        <v>522</v>
      </c>
      <c r="BN180" s="90"/>
      <c r="BO180" s="90"/>
      <c r="BP180" s="90"/>
      <c r="BQ180" s="90"/>
      <c r="BR180" s="90"/>
      <c r="BS180" s="90"/>
      <c r="BT180" s="91"/>
      <c r="BU180" s="262" t="s">
        <v>292</v>
      </c>
      <c r="BV180" s="90"/>
      <c r="BW180" s="90"/>
      <c r="BX180" s="90"/>
      <c r="BY180" s="90"/>
      <c r="BZ180" s="90"/>
      <c r="CA180" s="90"/>
      <c r="CB180" s="91"/>
      <c r="CC180" s="262" t="s">
        <v>528</v>
      </c>
      <c r="CD180" s="90"/>
      <c r="CE180" s="90"/>
      <c r="CF180" s="90"/>
      <c r="CG180" s="90"/>
      <c r="CH180" s="90"/>
      <c r="CI180" s="90"/>
      <c r="CJ180" s="91"/>
      <c r="CK180" s="284"/>
      <c r="CL180" s="90"/>
      <c r="CM180" s="90"/>
      <c r="CN180" s="90"/>
      <c r="CO180" s="90"/>
      <c r="CP180" s="90"/>
      <c r="CQ180" s="90"/>
      <c r="CR180" s="91"/>
      <c r="CS180" s="271" t="s">
        <v>206</v>
      </c>
      <c r="CT180" s="272"/>
      <c r="CU180" s="298">
        <v>18000</v>
      </c>
      <c r="CV180" s="298"/>
      <c r="CW180" s="298"/>
      <c r="CX180" s="298"/>
      <c r="CY180" s="298"/>
      <c r="CZ180" s="299"/>
      <c r="DA180" s="274" t="s">
        <v>206</v>
      </c>
      <c r="DB180" s="275"/>
      <c r="DC180" s="275">
        <f t="shared" si="6"/>
        <v>18000</v>
      </c>
      <c r="DD180" s="275"/>
      <c r="DE180" s="275"/>
      <c r="DF180" s="275"/>
      <c r="DG180" s="275"/>
      <c r="DH180" s="275"/>
      <c r="DI180" s="276"/>
      <c r="DJ180" s="262" t="s">
        <v>305</v>
      </c>
      <c r="DK180" s="90"/>
      <c r="DL180" s="90"/>
      <c r="DM180" s="90"/>
      <c r="DN180" s="90"/>
      <c r="DO180" s="90"/>
      <c r="DP180" s="90"/>
      <c r="DQ180" s="90"/>
      <c r="DR180" s="90"/>
      <c r="DS180" s="90"/>
      <c r="DT180" s="263"/>
    </row>
    <row r="181" spans="1:124">
      <c r="A181" s="308" t="s">
        <v>556</v>
      </c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62" t="s">
        <v>541</v>
      </c>
      <c r="O181" s="90"/>
      <c r="P181" s="90"/>
      <c r="Q181" s="90"/>
      <c r="R181" s="90"/>
      <c r="S181" s="90"/>
      <c r="T181" s="90"/>
      <c r="U181" s="91"/>
      <c r="V181" s="305" t="s">
        <v>249</v>
      </c>
      <c r="W181" s="102"/>
      <c r="X181" s="102"/>
      <c r="Y181" s="102"/>
      <c r="Z181" s="102"/>
      <c r="AA181" s="103"/>
      <c r="AB181" s="280" t="s">
        <v>252</v>
      </c>
      <c r="AC181" s="281"/>
      <c r="AD181" s="281"/>
      <c r="AE181" s="281"/>
      <c r="AF181" s="282"/>
      <c r="AG181" s="262" t="s">
        <v>567</v>
      </c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1"/>
      <c r="AW181" s="284"/>
      <c r="AX181" s="90"/>
      <c r="AY181" s="90"/>
      <c r="AZ181" s="90"/>
      <c r="BA181" s="90"/>
      <c r="BB181" s="90"/>
      <c r="BC181" s="90"/>
      <c r="BD181" s="91"/>
      <c r="BE181" s="284"/>
      <c r="BF181" s="90"/>
      <c r="BG181" s="90"/>
      <c r="BH181" s="90"/>
      <c r="BI181" s="90"/>
      <c r="BJ181" s="90"/>
      <c r="BK181" s="90"/>
      <c r="BL181" s="91"/>
      <c r="BM181" s="262" t="s">
        <v>592</v>
      </c>
      <c r="BN181" s="90"/>
      <c r="BO181" s="90"/>
      <c r="BP181" s="90"/>
      <c r="BQ181" s="90"/>
      <c r="BR181" s="90"/>
      <c r="BS181" s="90"/>
      <c r="BT181" s="91"/>
      <c r="BU181" s="262"/>
      <c r="BV181" s="90"/>
      <c r="BW181" s="90"/>
      <c r="BX181" s="90"/>
      <c r="BY181" s="90"/>
      <c r="BZ181" s="90"/>
      <c r="CA181" s="90"/>
      <c r="CB181" s="91"/>
      <c r="CC181" s="284"/>
      <c r="CD181" s="90"/>
      <c r="CE181" s="90"/>
      <c r="CF181" s="90"/>
      <c r="CG181" s="90"/>
      <c r="CH181" s="90"/>
      <c r="CI181" s="90"/>
      <c r="CJ181" s="91"/>
      <c r="CK181" s="284"/>
      <c r="CL181" s="90"/>
      <c r="CM181" s="90"/>
      <c r="CN181" s="90"/>
      <c r="CO181" s="90"/>
      <c r="CP181" s="90"/>
      <c r="CQ181" s="90"/>
      <c r="CR181" s="91"/>
      <c r="CS181" s="271" t="s">
        <v>206</v>
      </c>
      <c r="CT181" s="272"/>
      <c r="CU181" s="298">
        <v>587.5</v>
      </c>
      <c r="CV181" s="298"/>
      <c r="CW181" s="298"/>
      <c r="CX181" s="298"/>
      <c r="CY181" s="298"/>
      <c r="CZ181" s="299"/>
      <c r="DA181" s="274" t="s">
        <v>206</v>
      </c>
      <c r="DB181" s="275"/>
      <c r="DC181" s="275">
        <f t="shared" si="6"/>
        <v>587.5</v>
      </c>
      <c r="DD181" s="275"/>
      <c r="DE181" s="275"/>
      <c r="DF181" s="275"/>
      <c r="DG181" s="275"/>
      <c r="DH181" s="275"/>
      <c r="DI181" s="276"/>
      <c r="DJ181" s="262" t="s">
        <v>305</v>
      </c>
      <c r="DK181" s="90"/>
      <c r="DL181" s="90"/>
      <c r="DM181" s="90"/>
      <c r="DN181" s="90"/>
      <c r="DO181" s="90"/>
      <c r="DP181" s="90"/>
      <c r="DQ181" s="90"/>
      <c r="DR181" s="90"/>
      <c r="DS181" s="90"/>
      <c r="DT181" s="263"/>
    </row>
    <row r="182" spans="1:124">
      <c r="A182" s="308" t="s">
        <v>557</v>
      </c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62" t="s">
        <v>542</v>
      </c>
      <c r="O182" s="90"/>
      <c r="P182" s="90"/>
      <c r="Q182" s="90"/>
      <c r="R182" s="90"/>
      <c r="S182" s="90"/>
      <c r="T182" s="90"/>
      <c r="U182" s="91"/>
      <c r="V182" s="297">
        <v>38494</v>
      </c>
      <c r="W182" s="102"/>
      <c r="X182" s="102"/>
      <c r="Y182" s="102"/>
      <c r="Z182" s="102"/>
      <c r="AA182" s="103"/>
      <c r="AB182" s="280" t="s">
        <v>252</v>
      </c>
      <c r="AC182" s="281"/>
      <c r="AD182" s="281"/>
      <c r="AE182" s="281"/>
      <c r="AF182" s="282"/>
      <c r="AG182" s="262" t="s">
        <v>568</v>
      </c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1"/>
      <c r="AW182" s="286"/>
      <c r="AX182" s="286"/>
      <c r="AY182" s="286"/>
      <c r="AZ182" s="286"/>
      <c r="BA182" s="286"/>
      <c r="BB182" s="286"/>
      <c r="BC182" s="286"/>
      <c r="BD182" s="286"/>
      <c r="BE182" s="286"/>
      <c r="BF182" s="286"/>
      <c r="BG182" s="286"/>
      <c r="BH182" s="286"/>
      <c r="BI182" s="286"/>
      <c r="BJ182" s="286"/>
      <c r="BK182" s="286"/>
      <c r="BL182" s="286"/>
      <c r="BM182" s="262" t="s">
        <v>593</v>
      </c>
      <c r="BN182" s="90"/>
      <c r="BO182" s="90"/>
      <c r="BP182" s="90"/>
      <c r="BQ182" s="90"/>
      <c r="BR182" s="90"/>
      <c r="BS182" s="90"/>
      <c r="BT182" s="91"/>
      <c r="BU182" s="262" t="s">
        <v>595</v>
      </c>
      <c r="BV182" s="90"/>
      <c r="BW182" s="90"/>
      <c r="BX182" s="90"/>
      <c r="BY182" s="90"/>
      <c r="BZ182" s="90"/>
      <c r="CA182" s="90"/>
      <c r="CB182" s="91"/>
      <c r="CC182" s="286"/>
      <c r="CD182" s="286"/>
      <c r="CE182" s="286"/>
      <c r="CF182" s="286"/>
      <c r="CG182" s="286"/>
      <c r="CH182" s="286"/>
      <c r="CI182" s="286"/>
      <c r="CJ182" s="286"/>
      <c r="CK182" s="286"/>
      <c r="CL182" s="286"/>
      <c r="CM182" s="286"/>
      <c r="CN182" s="286"/>
      <c r="CO182" s="286"/>
      <c r="CP182" s="286"/>
      <c r="CQ182" s="286"/>
      <c r="CR182" s="286"/>
      <c r="CS182" s="271" t="s">
        <v>206</v>
      </c>
      <c r="CT182" s="272"/>
      <c r="CU182" s="298">
        <v>4000</v>
      </c>
      <c r="CV182" s="298"/>
      <c r="CW182" s="298"/>
      <c r="CX182" s="298"/>
      <c r="CY182" s="298"/>
      <c r="CZ182" s="299"/>
      <c r="DA182" s="274" t="s">
        <v>206</v>
      </c>
      <c r="DB182" s="275"/>
      <c r="DC182" s="275">
        <f t="shared" si="6"/>
        <v>4000</v>
      </c>
      <c r="DD182" s="275"/>
      <c r="DE182" s="275"/>
      <c r="DF182" s="275"/>
      <c r="DG182" s="275"/>
      <c r="DH182" s="275"/>
      <c r="DI182" s="276"/>
      <c r="DJ182" s="383" t="s">
        <v>393</v>
      </c>
      <c r="DK182" s="85"/>
      <c r="DL182" s="85"/>
      <c r="DM182" s="85"/>
      <c r="DN182" s="85"/>
      <c r="DO182" s="85"/>
      <c r="DP182" s="85"/>
      <c r="DQ182" s="85"/>
      <c r="DR182" s="85"/>
      <c r="DS182" s="85"/>
      <c r="DT182" s="384"/>
    </row>
    <row r="183" spans="1:124">
      <c r="A183" s="304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62" t="s">
        <v>543</v>
      </c>
      <c r="O183" s="90"/>
      <c r="P183" s="90"/>
      <c r="Q183" s="90"/>
      <c r="R183" s="90"/>
      <c r="S183" s="90"/>
      <c r="T183" s="90"/>
      <c r="U183" s="91"/>
      <c r="V183" s="297">
        <v>38494</v>
      </c>
      <c r="W183" s="102"/>
      <c r="X183" s="102"/>
      <c r="Y183" s="102"/>
      <c r="Z183" s="102"/>
      <c r="AA183" s="103"/>
      <c r="AB183" s="312" t="s">
        <v>217</v>
      </c>
      <c r="AC183" s="313"/>
      <c r="AD183" s="313"/>
      <c r="AE183" s="313"/>
      <c r="AF183" s="313"/>
      <c r="AG183" s="262" t="s">
        <v>569</v>
      </c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1"/>
      <c r="AW183" s="286"/>
      <c r="AX183" s="286"/>
      <c r="AY183" s="286"/>
      <c r="AZ183" s="286"/>
      <c r="BA183" s="286"/>
      <c r="BB183" s="286"/>
      <c r="BC183" s="286"/>
      <c r="BD183" s="286"/>
      <c r="BE183" s="286"/>
      <c r="BF183" s="286"/>
      <c r="BG183" s="286"/>
      <c r="BH183" s="286"/>
      <c r="BI183" s="286"/>
      <c r="BJ183" s="286"/>
      <c r="BK183" s="286"/>
      <c r="BL183" s="286"/>
      <c r="BM183" s="285" t="s">
        <v>593</v>
      </c>
      <c r="BN183" s="286"/>
      <c r="BO183" s="286"/>
      <c r="BP183" s="286"/>
      <c r="BQ183" s="286"/>
      <c r="BR183" s="286"/>
      <c r="BS183" s="286"/>
      <c r="BT183" s="286"/>
      <c r="BU183" s="262" t="s">
        <v>595</v>
      </c>
      <c r="BV183" s="90"/>
      <c r="BW183" s="90"/>
      <c r="BX183" s="90"/>
      <c r="BY183" s="90"/>
      <c r="BZ183" s="90"/>
      <c r="CA183" s="90"/>
      <c r="CB183" s="91"/>
      <c r="CC183" s="286"/>
      <c r="CD183" s="286"/>
      <c r="CE183" s="286"/>
      <c r="CF183" s="286"/>
      <c r="CG183" s="286"/>
      <c r="CH183" s="286"/>
      <c r="CI183" s="286"/>
      <c r="CJ183" s="286"/>
      <c r="CK183" s="286"/>
      <c r="CL183" s="286"/>
      <c r="CM183" s="286"/>
      <c r="CN183" s="286"/>
      <c r="CO183" s="286"/>
      <c r="CP183" s="286"/>
      <c r="CQ183" s="286"/>
      <c r="CR183" s="286"/>
      <c r="CS183" s="271" t="s">
        <v>206</v>
      </c>
      <c r="CT183" s="272"/>
      <c r="CU183" s="298">
        <v>0</v>
      </c>
      <c r="CV183" s="298"/>
      <c r="CW183" s="298"/>
      <c r="CX183" s="298"/>
      <c r="CY183" s="298"/>
      <c r="CZ183" s="299"/>
      <c r="DA183" s="274" t="s">
        <v>206</v>
      </c>
      <c r="DB183" s="275"/>
      <c r="DC183" s="275">
        <f t="shared" si="6"/>
        <v>0</v>
      </c>
      <c r="DD183" s="275"/>
      <c r="DE183" s="275"/>
      <c r="DF183" s="275"/>
      <c r="DG183" s="275"/>
      <c r="DH183" s="275"/>
      <c r="DI183" s="276"/>
      <c r="DJ183" s="383" t="s">
        <v>393</v>
      </c>
      <c r="DK183" s="85"/>
      <c r="DL183" s="85"/>
      <c r="DM183" s="85"/>
      <c r="DN183" s="85"/>
      <c r="DO183" s="85"/>
      <c r="DP183" s="85"/>
      <c r="DQ183" s="85"/>
      <c r="DR183" s="85"/>
      <c r="DS183" s="85"/>
      <c r="DT183" s="384"/>
    </row>
    <row r="184" spans="1:124">
      <c r="A184" s="288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90"/>
      <c r="N184" s="262" t="s">
        <v>544</v>
      </c>
      <c r="O184" s="90"/>
      <c r="P184" s="90"/>
      <c r="Q184" s="90"/>
      <c r="R184" s="90"/>
      <c r="S184" s="90"/>
      <c r="T184" s="90"/>
      <c r="U184" s="91"/>
      <c r="V184" s="297">
        <v>38540</v>
      </c>
      <c r="W184" s="102"/>
      <c r="X184" s="102"/>
      <c r="Y184" s="102"/>
      <c r="Z184" s="102"/>
      <c r="AA184" s="103"/>
      <c r="AB184" s="291" t="s">
        <v>252</v>
      </c>
      <c r="AC184" s="295"/>
      <c r="AD184" s="295"/>
      <c r="AE184" s="295"/>
      <c r="AF184" s="296"/>
      <c r="AG184" s="262" t="s">
        <v>445</v>
      </c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1"/>
      <c r="AW184" s="262" t="s">
        <v>276</v>
      </c>
      <c r="AX184" s="90"/>
      <c r="AY184" s="90"/>
      <c r="AZ184" s="90"/>
      <c r="BA184" s="90"/>
      <c r="BB184" s="90"/>
      <c r="BC184" s="90"/>
      <c r="BD184" s="91"/>
      <c r="BE184" s="262" t="s">
        <v>587</v>
      </c>
      <c r="BF184" s="90"/>
      <c r="BG184" s="90"/>
      <c r="BH184" s="90"/>
      <c r="BI184" s="90"/>
      <c r="BJ184" s="90"/>
      <c r="BK184" s="90"/>
      <c r="BL184" s="91"/>
      <c r="BM184" s="285" t="s">
        <v>286</v>
      </c>
      <c r="BN184" s="286"/>
      <c r="BO184" s="286"/>
      <c r="BP184" s="286"/>
      <c r="BQ184" s="286"/>
      <c r="BR184" s="286"/>
      <c r="BS184" s="286"/>
      <c r="BT184" s="286"/>
      <c r="BU184" s="262" t="s">
        <v>460</v>
      </c>
      <c r="BV184" s="90"/>
      <c r="BW184" s="90"/>
      <c r="BX184" s="90"/>
      <c r="BY184" s="90"/>
      <c r="BZ184" s="90"/>
      <c r="CA184" s="90"/>
      <c r="CB184" s="91"/>
      <c r="CC184" s="284"/>
      <c r="CD184" s="90"/>
      <c r="CE184" s="90"/>
      <c r="CF184" s="90"/>
      <c r="CG184" s="90"/>
      <c r="CH184" s="90"/>
      <c r="CI184" s="90"/>
      <c r="CJ184" s="91"/>
      <c r="CK184" s="284">
        <v>182302129</v>
      </c>
      <c r="CL184" s="90"/>
      <c r="CM184" s="90"/>
      <c r="CN184" s="90"/>
      <c r="CO184" s="90"/>
      <c r="CP184" s="90"/>
      <c r="CQ184" s="90"/>
      <c r="CR184" s="91"/>
      <c r="CS184" s="271" t="s">
        <v>206</v>
      </c>
      <c r="CT184" s="272"/>
      <c r="CU184" s="298">
        <v>1880</v>
      </c>
      <c r="CV184" s="298"/>
      <c r="CW184" s="298"/>
      <c r="CX184" s="298"/>
      <c r="CY184" s="298"/>
      <c r="CZ184" s="299"/>
      <c r="DA184" s="274" t="s">
        <v>206</v>
      </c>
      <c r="DB184" s="275"/>
      <c r="DC184" s="275">
        <f t="shared" si="6"/>
        <v>1880</v>
      </c>
      <c r="DD184" s="275"/>
      <c r="DE184" s="275"/>
      <c r="DF184" s="275"/>
      <c r="DG184" s="275"/>
      <c r="DH184" s="275"/>
      <c r="DI184" s="276"/>
      <c r="DJ184" s="262" t="s">
        <v>305</v>
      </c>
      <c r="DK184" s="90"/>
      <c r="DL184" s="90"/>
      <c r="DM184" s="90"/>
      <c r="DN184" s="90"/>
      <c r="DO184" s="90"/>
      <c r="DP184" s="90"/>
      <c r="DQ184" s="90"/>
      <c r="DR184" s="90"/>
      <c r="DS184" s="90"/>
      <c r="DT184" s="263"/>
    </row>
    <row r="185" spans="1:124">
      <c r="A185" s="288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90"/>
      <c r="N185" s="262" t="s">
        <v>545</v>
      </c>
      <c r="O185" s="90"/>
      <c r="P185" s="90"/>
      <c r="Q185" s="90"/>
      <c r="R185" s="90"/>
      <c r="S185" s="90"/>
      <c r="T185" s="90"/>
      <c r="U185" s="91"/>
      <c r="V185" s="297">
        <v>38592</v>
      </c>
      <c r="W185" s="102"/>
      <c r="X185" s="102"/>
      <c r="Y185" s="102"/>
      <c r="Z185" s="102"/>
      <c r="AA185" s="103"/>
      <c r="AB185" s="291" t="s">
        <v>252</v>
      </c>
      <c r="AC185" s="295"/>
      <c r="AD185" s="295"/>
      <c r="AE185" s="295"/>
      <c r="AF185" s="296"/>
      <c r="AG185" s="262" t="s">
        <v>570</v>
      </c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1"/>
      <c r="AW185" s="284"/>
      <c r="AX185" s="90"/>
      <c r="AY185" s="90"/>
      <c r="AZ185" s="90"/>
      <c r="BA185" s="90"/>
      <c r="BB185" s="90"/>
      <c r="BC185" s="90"/>
      <c r="BD185" s="91"/>
      <c r="BE185" s="284"/>
      <c r="BF185" s="90"/>
      <c r="BG185" s="90"/>
      <c r="BH185" s="90"/>
      <c r="BI185" s="90"/>
      <c r="BJ185" s="90"/>
      <c r="BK185" s="90"/>
      <c r="BL185" s="91"/>
      <c r="BM185" s="262" t="s">
        <v>219</v>
      </c>
      <c r="BN185" s="90"/>
      <c r="BO185" s="90"/>
      <c r="BP185" s="90"/>
      <c r="BQ185" s="90"/>
      <c r="BR185" s="90"/>
      <c r="BS185" s="90"/>
      <c r="BT185" s="91"/>
      <c r="BU185" s="262" t="s">
        <v>596</v>
      </c>
      <c r="BV185" s="90"/>
      <c r="BW185" s="90"/>
      <c r="BX185" s="90"/>
      <c r="BY185" s="90"/>
      <c r="BZ185" s="90"/>
      <c r="CA185" s="90"/>
      <c r="CB185" s="91"/>
      <c r="CC185" s="262"/>
      <c r="CD185" s="90"/>
      <c r="CE185" s="90"/>
      <c r="CF185" s="90"/>
      <c r="CG185" s="90"/>
      <c r="CH185" s="90"/>
      <c r="CI185" s="90"/>
      <c r="CJ185" s="91"/>
      <c r="CK185" s="284"/>
      <c r="CL185" s="90"/>
      <c r="CM185" s="90"/>
      <c r="CN185" s="90"/>
      <c r="CO185" s="90"/>
      <c r="CP185" s="90"/>
      <c r="CQ185" s="90"/>
      <c r="CR185" s="91"/>
      <c r="CS185" s="271" t="s">
        <v>206</v>
      </c>
      <c r="CT185" s="272"/>
      <c r="CU185" s="298">
        <v>1500</v>
      </c>
      <c r="CV185" s="298"/>
      <c r="CW185" s="298"/>
      <c r="CX185" s="298"/>
      <c r="CY185" s="298"/>
      <c r="CZ185" s="299"/>
      <c r="DA185" s="274" t="s">
        <v>206</v>
      </c>
      <c r="DB185" s="275"/>
      <c r="DC185" s="275">
        <f t="shared" si="6"/>
        <v>1500</v>
      </c>
      <c r="DD185" s="275"/>
      <c r="DE185" s="275"/>
      <c r="DF185" s="275"/>
      <c r="DG185" s="275"/>
      <c r="DH185" s="275"/>
      <c r="DI185" s="276"/>
      <c r="DJ185" s="262" t="s">
        <v>305</v>
      </c>
      <c r="DK185" s="90"/>
      <c r="DL185" s="90"/>
      <c r="DM185" s="90"/>
      <c r="DN185" s="90"/>
      <c r="DO185" s="90"/>
      <c r="DP185" s="90"/>
      <c r="DQ185" s="90"/>
      <c r="DR185" s="90"/>
      <c r="DS185" s="90"/>
      <c r="DT185" s="263"/>
    </row>
    <row r="186" spans="1:124">
      <c r="A186" s="304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62" t="s">
        <v>546</v>
      </c>
      <c r="O186" s="90"/>
      <c r="P186" s="90"/>
      <c r="Q186" s="90"/>
      <c r="R186" s="90"/>
      <c r="S186" s="90"/>
      <c r="T186" s="90"/>
      <c r="U186" s="91"/>
      <c r="V186" s="297">
        <v>39610</v>
      </c>
      <c r="W186" s="102"/>
      <c r="X186" s="102"/>
      <c r="Y186" s="102"/>
      <c r="Z186" s="102"/>
      <c r="AA186" s="103"/>
      <c r="AB186" s="312" t="s">
        <v>252</v>
      </c>
      <c r="AC186" s="313"/>
      <c r="AD186" s="313"/>
      <c r="AE186" s="313"/>
      <c r="AF186" s="313"/>
      <c r="AG186" s="262" t="s">
        <v>571</v>
      </c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1"/>
      <c r="AW186" s="285" t="s">
        <v>583</v>
      </c>
      <c r="AX186" s="286"/>
      <c r="AY186" s="286"/>
      <c r="AZ186" s="286"/>
      <c r="BA186" s="286"/>
      <c r="BB186" s="286"/>
      <c r="BC186" s="286"/>
      <c r="BD186" s="286"/>
      <c r="BE186" s="285" t="s">
        <v>588</v>
      </c>
      <c r="BF186" s="286"/>
      <c r="BG186" s="286"/>
      <c r="BH186" s="286"/>
      <c r="BI186" s="286"/>
      <c r="BJ186" s="286"/>
      <c r="BK186" s="286"/>
      <c r="BL186" s="286"/>
      <c r="BM186" s="262" t="s">
        <v>594</v>
      </c>
      <c r="BN186" s="90"/>
      <c r="BO186" s="90"/>
      <c r="BP186" s="90"/>
      <c r="BQ186" s="90"/>
      <c r="BR186" s="90"/>
      <c r="BS186" s="90"/>
      <c r="BT186" s="91"/>
      <c r="BU186" s="262" t="s">
        <v>373</v>
      </c>
      <c r="BV186" s="90"/>
      <c r="BW186" s="90"/>
      <c r="BX186" s="90"/>
      <c r="BY186" s="90"/>
      <c r="BZ186" s="90"/>
      <c r="CA186" s="90"/>
      <c r="CB186" s="91"/>
      <c r="CC186" s="285" t="s">
        <v>528</v>
      </c>
      <c r="CD186" s="286"/>
      <c r="CE186" s="286"/>
      <c r="CF186" s="286"/>
      <c r="CG186" s="286"/>
      <c r="CH186" s="286"/>
      <c r="CI186" s="286"/>
      <c r="CJ186" s="286"/>
      <c r="CK186" s="285" t="s">
        <v>603</v>
      </c>
      <c r="CL186" s="286"/>
      <c r="CM186" s="286"/>
      <c r="CN186" s="286"/>
      <c r="CO186" s="286"/>
      <c r="CP186" s="286"/>
      <c r="CQ186" s="286"/>
      <c r="CR186" s="286"/>
      <c r="CS186" s="271" t="s">
        <v>206</v>
      </c>
      <c r="CT186" s="272"/>
      <c r="CU186" s="298">
        <v>13300</v>
      </c>
      <c r="CV186" s="298"/>
      <c r="CW186" s="298"/>
      <c r="CX186" s="298"/>
      <c r="CY186" s="298"/>
      <c r="CZ186" s="299"/>
      <c r="DA186" s="274" t="s">
        <v>206</v>
      </c>
      <c r="DB186" s="275"/>
      <c r="DC186" s="275">
        <f t="shared" si="6"/>
        <v>13300</v>
      </c>
      <c r="DD186" s="275"/>
      <c r="DE186" s="275"/>
      <c r="DF186" s="275"/>
      <c r="DG186" s="275"/>
      <c r="DH186" s="275"/>
      <c r="DI186" s="276"/>
      <c r="DJ186" s="262" t="s">
        <v>305</v>
      </c>
      <c r="DK186" s="90"/>
      <c r="DL186" s="90"/>
      <c r="DM186" s="90"/>
      <c r="DN186" s="90"/>
      <c r="DO186" s="90"/>
      <c r="DP186" s="90"/>
      <c r="DQ186" s="90"/>
      <c r="DR186" s="90"/>
      <c r="DS186" s="90"/>
      <c r="DT186" s="263"/>
    </row>
    <row r="187" spans="1:124">
      <c r="A187" s="288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90"/>
      <c r="N187" s="262" t="s">
        <v>547</v>
      </c>
      <c r="O187" s="90"/>
      <c r="P187" s="90"/>
      <c r="Q187" s="90"/>
      <c r="R187" s="90"/>
      <c r="S187" s="90"/>
      <c r="T187" s="90"/>
      <c r="U187" s="91"/>
      <c r="V187" s="297">
        <v>39733</v>
      </c>
      <c r="W187" s="102"/>
      <c r="X187" s="102"/>
      <c r="Y187" s="102"/>
      <c r="Z187" s="102"/>
      <c r="AA187" s="103"/>
      <c r="AB187" s="291" t="s">
        <v>254</v>
      </c>
      <c r="AC187" s="295"/>
      <c r="AD187" s="295"/>
      <c r="AE187" s="295"/>
      <c r="AF187" s="296"/>
      <c r="AG187" s="262" t="s">
        <v>572</v>
      </c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1"/>
      <c r="AW187" s="284"/>
      <c r="AX187" s="90"/>
      <c r="AY187" s="90"/>
      <c r="AZ187" s="90"/>
      <c r="BA187" s="90"/>
      <c r="BB187" s="90"/>
      <c r="BC187" s="90"/>
      <c r="BD187" s="91"/>
      <c r="BE187" s="284"/>
      <c r="BF187" s="90"/>
      <c r="BG187" s="90"/>
      <c r="BH187" s="90"/>
      <c r="BI187" s="90"/>
      <c r="BJ187" s="90"/>
      <c r="BK187" s="90"/>
      <c r="BL187" s="91"/>
      <c r="BM187" s="285" t="s">
        <v>286</v>
      </c>
      <c r="BN187" s="286"/>
      <c r="BO187" s="286"/>
      <c r="BP187" s="286"/>
      <c r="BQ187" s="286"/>
      <c r="BR187" s="286"/>
      <c r="BS187" s="286"/>
      <c r="BT187" s="286"/>
      <c r="BU187" s="262" t="s">
        <v>295</v>
      </c>
      <c r="BV187" s="90"/>
      <c r="BW187" s="90"/>
      <c r="BX187" s="90"/>
      <c r="BY187" s="90"/>
      <c r="BZ187" s="90"/>
      <c r="CA187" s="90"/>
      <c r="CB187" s="91"/>
      <c r="CC187" s="284"/>
      <c r="CD187" s="90"/>
      <c r="CE187" s="90"/>
      <c r="CF187" s="90"/>
      <c r="CG187" s="90"/>
      <c r="CH187" s="90"/>
      <c r="CI187" s="90"/>
      <c r="CJ187" s="91"/>
      <c r="CK187" s="284"/>
      <c r="CL187" s="90"/>
      <c r="CM187" s="90"/>
      <c r="CN187" s="90"/>
      <c r="CO187" s="90"/>
      <c r="CP187" s="90"/>
      <c r="CQ187" s="90"/>
      <c r="CR187" s="91"/>
      <c r="CS187" s="271" t="s">
        <v>206</v>
      </c>
      <c r="CT187" s="272"/>
      <c r="CU187" s="298">
        <v>800</v>
      </c>
      <c r="CV187" s="298"/>
      <c r="CW187" s="298"/>
      <c r="CX187" s="298"/>
      <c r="CY187" s="298"/>
      <c r="CZ187" s="299"/>
      <c r="DA187" s="274" t="s">
        <v>206</v>
      </c>
      <c r="DB187" s="275"/>
      <c r="DC187" s="275">
        <f t="shared" si="6"/>
        <v>2400</v>
      </c>
      <c r="DD187" s="275"/>
      <c r="DE187" s="275"/>
      <c r="DF187" s="275"/>
      <c r="DG187" s="275"/>
      <c r="DH187" s="275"/>
      <c r="DI187" s="276"/>
      <c r="DJ187" s="383" t="s">
        <v>393</v>
      </c>
      <c r="DK187" s="85"/>
      <c r="DL187" s="85"/>
      <c r="DM187" s="85"/>
      <c r="DN187" s="85"/>
      <c r="DO187" s="85"/>
      <c r="DP187" s="85"/>
      <c r="DQ187" s="85"/>
      <c r="DR187" s="85"/>
      <c r="DS187" s="85"/>
      <c r="DT187" s="384"/>
    </row>
    <row r="188" spans="1:124">
      <c r="A188" s="288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90"/>
      <c r="N188" s="262" t="s">
        <v>548</v>
      </c>
      <c r="O188" s="90"/>
      <c r="P188" s="90"/>
      <c r="Q188" s="90"/>
      <c r="R188" s="90"/>
      <c r="S188" s="90"/>
      <c r="T188" s="90"/>
      <c r="U188" s="91"/>
      <c r="V188" s="297">
        <v>39845</v>
      </c>
      <c r="W188" s="102"/>
      <c r="X188" s="102"/>
      <c r="Y188" s="102"/>
      <c r="Z188" s="102"/>
      <c r="AA188" s="103"/>
      <c r="AB188" s="291" t="s">
        <v>252</v>
      </c>
      <c r="AC188" s="295"/>
      <c r="AD188" s="295"/>
      <c r="AE188" s="295"/>
      <c r="AF188" s="296"/>
      <c r="AG188" s="262" t="s">
        <v>573</v>
      </c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1"/>
      <c r="AW188" s="262"/>
      <c r="AX188" s="90"/>
      <c r="AY188" s="90"/>
      <c r="AZ188" s="90"/>
      <c r="BA188" s="90"/>
      <c r="BB188" s="90"/>
      <c r="BC188" s="90"/>
      <c r="BD188" s="91"/>
      <c r="BE188" s="262"/>
      <c r="BF188" s="90"/>
      <c r="BG188" s="90"/>
      <c r="BH188" s="90"/>
      <c r="BI188" s="90"/>
      <c r="BJ188" s="90"/>
      <c r="BK188" s="90"/>
      <c r="BL188" s="91"/>
      <c r="BM188" s="262" t="s">
        <v>219</v>
      </c>
      <c r="BN188" s="90"/>
      <c r="BO188" s="90"/>
      <c r="BP188" s="90"/>
      <c r="BQ188" s="90"/>
      <c r="BR188" s="90"/>
      <c r="BS188" s="90"/>
      <c r="BT188" s="91"/>
      <c r="BU188" s="262" t="s">
        <v>596</v>
      </c>
      <c r="BV188" s="90"/>
      <c r="BW188" s="90"/>
      <c r="BX188" s="90"/>
      <c r="BY188" s="90"/>
      <c r="BZ188" s="90"/>
      <c r="CA188" s="90"/>
      <c r="CB188" s="91"/>
      <c r="CC188" s="262"/>
      <c r="CD188" s="90"/>
      <c r="CE188" s="90"/>
      <c r="CF188" s="90"/>
      <c r="CG188" s="90"/>
      <c r="CH188" s="90"/>
      <c r="CI188" s="90"/>
      <c r="CJ188" s="91"/>
      <c r="CK188" s="262"/>
      <c r="CL188" s="90"/>
      <c r="CM188" s="90"/>
      <c r="CN188" s="90"/>
      <c r="CO188" s="90"/>
      <c r="CP188" s="90"/>
      <c r="CQ188" s="90"/>
      <c r="CR188" s="91"/>
      <c r="CS188" s="271" t="s">
        <v>206</v>
      </c>
      <c r="CT188" s="272"/>
      <c r="CU188" s="298">
        <v>1600</v>
      </c>
      <c r="CV188" s="298"/>
      <c r="CW188" s="298"/>
      <c r="CX188" s="298"/>
      <c r="CY188" s="298"/>
      <c r="CZ188" s="299"/>
      <c r="DA188" s="274" t="s">
        <v>206</v>
      </c>
      <c r="DB188" s="275"/>
      <c r="DC188" s="275">
        <f t="shared" si="6"/>
        <v>1600</v>
      </c>
      <c r="DD188" s="275"/>
      <c r="DE188" s="275"/>
      <c r="DF188" s="275"/>
      <c r="DG188" s="275"/>
      <c r="DH188" s="275"/>
      <c r="DI188" s="276"/>
      <c r="DJ188" s="262" t="s">
        <v>305</v>
      </c>
      <c r="DK188" s="90"/>
      <c r="DL188" s="90"/>
      <c r="DM188" s="90"/>
      <c r="DN188" s="90"/>
      <c r="DO188" s="90"/>
      <c r="DP188" s="90"/>
      <c r="DQ188" s="90"/>
      <c r="DR188" s="90"/>
      <c r="DS188" s="90"/>
      <c r="DT188" s="263"/>
    </row>
    <row r="189" spans="1:124">
      <c r="A189" s="288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90"/>
      <c r="N189" s="262" t="s">
        <v>549</v>
      </c>
      <c r="O189" s="90"/>
      <c r="P189" s="90"/>
      <c r="Q189" s="90"/>
      <c r="R189" s="90"/>
      <c r="S189" s="90"/>
      <c r="T189" s="90"/>
      <c r="U189" s="91"/>
      <c r="V189" s="297">
        <v>41168</v>
      </c>
      <c r="W189" s="102"/>
      <c r="X189" s="102"/>
      <c r="Y189" s="102"/>
      <c r="Z189" s="102"/>
      <c r="AA189" s="103"/>
      <c r="AB189" s="291" t="s">
        <v>252</v>
      </c>
      <c r="AC189" s="295"/>
      <c r="AD189" s="295"/>
      <c r="AE189" s="295"/>
      <c r="AF189" s="296"/>
      <c r="AG189" s="262" t="s">
        <v>349</v>
      </c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1"/>
      <c r="AW189" s="262"/>
      <c r="AX189" s="90"/>
      <c r="AY189" s="90"/>
      <c r="AZ189" s="90"/>
      <c r="BA189" s="90"/>
      <c r="BB189" s="90"/>
      <c r="BC189" s="90"/>
      <c r="BD189" s="91"/>
      <c r="BE189" s="262"/>
      <c r="BF189" s="90"/>
      <c r="BG189" s="90"/>
      <c r="BH189" s="90"/>
      <c r="BI189" s="90"/>
      <c r="BJ189" s="90"/>
      <c r="BK189" s="90"/>
      <c r="BL189" s="91"/>
      <c r="BM189" s="262" t="s">
        <v>219</v>
      </c>
      <c r="BN189" s="90"/>
      <c r="BO189" s="90"/>
      <c r="BP189" s="90"/>
      <c r="BQ189" s="90"/>
      <c r="BR189" s="90"/>
      <c r="BS189" s="90"/>
      <c r="BT189" s="91"/>
      <c r="BU189" s="262" t="s">
        <v>596</v>
      </c>
      <c r="BV189" s="90"/>
      <c r="BW189" s="90"/>
      <c r="BX189" s="90"/>
      <c r="BY189" s="90"/>
      <c r="BZ189" s="90"/>
      <c r="CA189" s="90"/>
      <c r="CB189" s="91"/>
      <c r="CC189" s="262"/>
      <c r="CD189" s="90"/>
      <c r="CE189" s="90"/>
      <c r="CF189" s="90"/>
      <c r="CG189" s="90"/>
      <c r="CH189" s="90"/>
      <c r="CI189" s="90"/>
      <c r="CJ189" s="91"/>
      <c r="CK189" s="262"/>
      <c r="CL189" s="90"/>
      <c r="CM189" s="90"/>
      <c r="CN189" s="90"/>
      <c r="CO189" s="90"/>
      <c r="CP189" s="90"/>
      <c r="CQ189" s="90"/>
      <c r="CR189" s="91"/>
      <c r="CS189" s="271" t="s">
        <v>206</v>
      </c>
      <c r="CT189" s="272"/>
      <c r="CU189" s="298">
        <v>600</v>
      </c>
      <c r="CV189" s="298"/>
      <c r="CW189" s="298"/>
      <c r="CX189" s="298"/>
      <c r="CY189" s="298"/>
      <c r="CZ189" s="299"/>
      <c r="DA189" s="274" t="s">
        <v>206</v>
      </c>
      <c r="DB189" s="275"/>
      <c r="DC189" s="275">
        <f t="shared" si="6"/>
        <v>600</v>
      </c>
      <c r="DD189" s="275"/>
      <c r="DE189" s="275"/>
      <c r="DF189" s="275"/>
      <c r="DG189" s="275"/>
      <c r="DH189" s="275"/>
      <c r="DI189" s="276"/>
      <c r="DJ189" s="262" t="s">
        <v>305</v>
      </c>
      <c r="DK189" s="90"/>
      <c r="DL189" s="90"/>
      <c r="DM189" s="90"/>
      <c r="DN189" s="90"/>
      <c r="DO189" s="90"/>
      <c r="DP189" s="90"/>
      <c r="DQ189" s="90"/>
      <c r="DR189" s="90"/>
      <c r="DS189" s="90"/>
      <c r="DT189" s="263"/>
    </row>
    <row r="190" spans="1:124">
      <c r="A190" s="304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62" t="s">
        <v>550</v>
      </c>
      <c r="O190" s="90"/>
      <c r="P190" s="90"/>
      <c r="Q190" s="90"/>
      <c r="R190" s="90"/>
      <c r="S190" s="90"/>
      <c r="T190" s="90"/>
      <c r="U190" s="91"/>
      <c r="V190" s="297">
        <v>42351</v>
      </c>
      <c r="W190" s="102"/>
      <c r="X190" s="102"/>
      <c r="Y190" s="102"/>
      <c r="Z190" s="102"/>
      <c r="AA190" s="103"/>
      <c r="AB190" s="312" t="s">
        <v>252</v>
      </c>
      <c r="AC190" s="313"/>
      <c r="AD190" s="313"/>
      <c r="AE190" s="313"/>
      <c r="AF190" s="313"/>
      <c r="AG190" s="262" t="s">
        <v>574</v>
      </c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1"/>
      <c r="AW190" s="285"/>
      <c r="AX190" s="286"/>
      <c r="AY190" s="286"/>
      <c r="AZ190" s="286"/>
      <c r="BA190" s="286"/>
      <c r="BB190" s="286"/>
      <c r="BC190" s="286"/>
      <c r="BD190" s="286"/>
      <c r="BE190" s="285"/>
      <c r="BF190" s="286"/>
      <c r="BG190" s="286"/>
      <c r="BH190" s="286"/>
      <c r="BI190" s="286"/>
      <c r="BJ190" s="286"/>
      <c r="BK190" s="286"/>
      <c r="BL190" s="286"/>
      <c r="BM190" s="262" t="s">
        <v>593</v>
      </c>
      <c r="BN190" s="90"/>
      <c r="BO190" s="90"/>
      <c r="BP190" s="90"/>
      <c r="BQ190" s="90"/>
      <c r="BR190" s="90"/>
      <c r="BS190" s="90"/>
      <c r="BT190" s="91"/>
      <c r="BU190" s="262" t="s">
        <v>597</v>
      </c>
      <c r="BV190" s="90"/>
      <c r="BW190" s="90"/>
      <c r="BX190" s="90"/>
      <c r="BY190" s="90"/>
      <c r="BZ190" s="90"/>
      <c r="CA190" s="90"/>
      <c r="CB190" s="91"/>
      <c r="CC190" s="285"/>
      <c r="CD190" s="286"/>
      <c r="CE190" s="286"/>
      <c r="CF190" s="286"/>
      <c r="CG190" s="286"/>
      <c r="CH190" s="286"/>
      <c r="CI190" s="286"/>
      <c r="CJ190" s="286"/>
      <c r="CK190" s="262"/>
      <c r="CL190" s="90"/>
      <c r="CM190" s="90"/>
      <c r="CN190" s="90"/>
      <c r="CO190" s="90"/>
      <c r="CP190" s="90"/>
      <c r="CQ190" s="90"/>
      <c r="CR190" s="91"/>
      <c r="CS190" s="271" t="s">
        <v>206</v>
      </c>
      <c r="CT190" s="272"/>
      <c r="CU190" s="298">
        <v>4500</v>
      </c>
      <c r="CV190" s="298"/>
      <c r="CW190" s="298"/>
      <c r="CX190" s="298"/>
      <c r="CY190" s="298"/>
      <c r="CZ190" s="299"/>
      <c r="DA190" s="274" t="s">
        <v>206</v>
      </c>
      <c r="DB190" s="275"/>
      <c r="DC190" s="275">
        <f t="shared" si="6"/>
        <v>4500</v>
      </c>
      <c r="DD190" s="275"/>
      <c r="DE190" s="275"/>
      <c r="DF190" s="275"/>
      <c r="DG190" s="275"/>
      <c r="DH190" s="275"/>
      <c r="DI190" s="276"/>
      <c r="DJ190" s="285" t="s">
        <v>305</v>
      </c>
      <c r="DK190" s="286"/>
      <c r="DL190" s="286"/>
      <c r="DM190" s="286"/>
      <c r="DN190" s="286"/>
      <c r="DO190" s="286"/>
      <c r="DP190" s="286"/>
      <c r="DQ190" s="286"/>
      <c r="DR190" s="286"/>
      <c r="DS190" s="286"/>
      <c r="DT190" s="287"/>
    </row>
    <row r="191" spans="1:124">
      <c r="A191" s="308" t="s">
        <v>558</v>
      </c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85" t="s">
        <v>551</v>
      </c>
      <c r="O191" s="286"/>
      <c r="P191" s="286"/>
      <c r="Q191" s="286"/>
      <c r="R191" s="286"/>
      <c r="S191" s="286"/>
      <c r="T191" s="286"/>
      <c r="U191" s="286"/>
      <c r="V191" s="305" t="s">
        <v>249</v>
      </c>
      <c r="W191" s="102"/>
      <c r="X191" s="102"/>
      <c r="Y191" s="102"/>
      <c r="Z191" s="102"/>
      <c r="AA191" s="103"/>
      <c r="AB191" s="312" t="s">
        <v>252</v>
      </c>
      <c r="AC191" s="313"/>
      <c r="AD191" s="313"/>
      <c r="AE191" s="313"/>
      <c r="AF191" s="313"/>
      <c r="AG191" s="262" t="s">
        <v>575</v>
      </c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1"/>
      <c r="AW191" s="285" t="s">
        <v>584</v>
      </c>
      <c r="AX191" s="286"/>
      <c r="AY191" s="286"/>
      <c r="AZ191" s="286"/>
      <c r="BA191" s="286"/>
      <c r="BB191" s="286"/>
      <c r="BC191" s="286"/>
      <c r="BD191" s="286"/>
      <c r="BE191" s="286"/>
      <c r="BF191" s="286"/>
      <c r="BG191" s="286"/>
      <c r="BH191" s="286"/>
      <c r="BI191" s="286"/>
      <c r="BJ191" s="286"/>
      <c r="BK191" s="286"/>
      <c r="BL191" s="286"/>
      <c r="BM191" s="285" t="s">
        <v>522</v>
      </c>
      <c r="BN191" s="286"/>
      <c r="BO191" s="286"/>
      <c r="BP191" s="286"/>
      <c r="BQ191" s="286"/>
      <c r="BR191" s="286"/>
      <c r="BS191" s="286"/>
      <c r="BT191" s="286"/>
      <c r="BU191" s="262" t="s">
        <v>598</v>
      </c>
      <c r="BV191" s="90"/>
      <c r="BW191" s="90"/>
      <c r="BX191" s="90"/>
      <c r="BY191" s="90"/>
      <c r="BZ191" s="90"/>
      <c r="CA191" s="90"/>
      <c r="CB191" s="91"/>
      <c r="CC191" s="286"/>
      <c r="CD191" s="286"/>
      <c r="CE191" s="286"/>
      <c r="CF191" s="286"/>
      <c r="CG191" s="286"/>
      <c r="CH191" s="286"/>
      <c r="CI191" s="286"/>
      <c r="CJ191" s="286"/>
      <c r="CK191" s="285" t="s">
        <v>604</v>
      </c>
      <c r="CL191" s="286"/>
      <c r="CM191" s="286"/>
      <c r="CN191" s="286"/>
      <c r="CO191" s="286"/>
      <c r="CP191" s="286"/>
      <c r="CQ191" s="286"/>
      <c r="CR191" s="286"/>
      <c r="CS191" s="271" t="s">
        <v>206</v>
      </c>
      <c r="CT191" s="272"/>
      <c r="CU191" s="298">
        <v>2600</v>
      </c>
      <c r="CV191" s="298"/>
      <c r="CW191" s="298"/>
      <c r="CX191" s="298"/>
      <c r="CY191" s="298"/>
      <c r="CZ191" s="299"/>
      <c r="DA191" s="274" t="s">
        <v>206</v>
      </c>
      <c r="DB191" s="275"/>
      <c r="DC191" s="275">
        <f t="shared" si="6"/>
        <v>2600</v>
      </c>
      <c r="DD191" s="275"/>
      <c r="DE191" s="275"/>
      <c r="DF191" s="275"/>
      <c r="DG191" s="275"/>
      <c r="DH191" s="275"/>
      <c r="DI191" s="276"/>
      <c r="DJ191" s="285" t="s">
        <v>305</v>
      </c>
      <c r="DK191" s="286"/>
      <c r="DL191" s="286"/>
      <c r="DM191" s="286"/>
      <c r="DN191" s="286"/>
      <c r="DO191" s="286"/>
      <c r="DP191" s="286"/>
      <c r="DQ191" s="286"/>
      <c r="DR191" s="286"/>
      <c r="DS191" s="286"/>
      <c r="DT191" s="287"/>
    </row>
    <row r="192" spans="1:124">
      <c r="A192" s="304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85" t="s">
        <v>552</v>
      </c>
      <c r="O192" s="286"/>
      <c r="P192" s="286"/>
      <c r="Q192" s="286"/>
      <c r="R192" s="286"/>
      <c r="S192" s="286"/>
      <c r="T192" s="286"/>
      <c r="U192" s="286"/>
      <c r="V192" s="305" t="s">
        <v>249</v>
      </c>
      <c r="W192" s="102"/>
      <c r="X192" s="102"/>
      <c r="Y192" s="102"/>
      <c r="Z192" s="102"/>
      <c r="AA192" s="103"/>
      <c r="AB192" s="312" t="s">
        <v>254</v>
      </c>
      <c r="AC192" s="313"/>
      <c r="AD192" s="313"/>
      <c r="AE192" s="313"/>
      <c r="AF192" s="313"/>
      <c r="AG192" s="262" t="s">
        <v>576</v>
      </c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1"/>
      <c r="AW192" s="286"/>
      <c r="AX192" s="286"/>
      <c r="AY192" s="286"/>
      <c r="AZ192" s="286"/>
      <c r="BA192" s="286"/>
      <c r="BB192" s="286"/>
      <c r="BC192" s="286"/>
      <c r="BD192" s="286"/>
      <c r="BE192" s="286"/>
      <c r="BF192" s="286"/>
      <c r="BG192" s="286"/>
      <c r="BH192" s="286"/>
      <c r="BI192" s="286"/>
      <c r="BJ192" s="286"/>
      <c r="BK192" s="286"/>
      <c r="BL192" s="286"/>
      <c r="BM192" s="285" t="s">
        <v>219</v>
      </c>
      <c r="BN192" s="286"/>
      <c r="BO192" s="286"/>
      <c r="BP192" s="286"/>
      <c r="BQ192" s="286"/>
      <c r="BR192" s="286"/>
      <c r="BS192" s="286"/>
      <c r="BT192" s="286"/>
      <c r="BU192" s="285" t="s">
        <v>596</v>
      </c>
      <c r="BV192" s="286"/>
      <c r="BW192" s="286"/>
      <c r="BX192" s="286"/>
      <c r="BY192" s="286"/>
      <c r="BZ192" s="286"/>
      <c r="CA192" s="286"/>
      <c r="CB192" s="286"/>
      <c r="CC192" s="286"/>
      <c r="CD192" s="286"/>
      <c r="CE192" s="286"/>
      <c r="CF192" s="286"/>
      <c r="CG192" s="286"/>
      <c r="CH192" s="286"/>
      <c r="CI192" s="286"/>
      <c r="CJ192" s="286"/>
      <c r="CK192" s="286"/>
      <c r="CL192" s="286"/>
      <c r="CM192" s="286"/>
      <c r="CN192" s="286"/>
      <c r="CO192" s="286"/>
      <c r="CP192" s="286"/>
      <c r="CQ192" s="286"/>
      <c r="CR192" s="286"/>
      <c r="CS192" s="271" t="s">
        <v>206</v>
      </c>
      <c r="CT192" s="272"/>
      <c r="CU192" s="298">
        <v>941.6</v>
      </c>
      <c r="CV192" s="298"/>
      <c r="CW192" s="298"/>
      <c r="CX192" s="298"/>
      <c r="CY192" s="298"/>
      <c r="CZ192" s="299"/>
      <c r="DA192" s="274" t="s">
        <v>206</v>
      </c>
      <c r="DB192" s="275"/>
      <c r="DC192" s="275">
        <f t="shared" si="6"/>
        <v>2824.8</v>
      </c>
      <c r="DD192" s="275"/>
      <c r="DE192" s="275"/>
      <c r="DF192" s="275"/>
      <c r="DG192" s="275"/>
      <c r="DH192" s="275"/>
      <c r="DI192" s="276"/>
      <c r="DJ192" s="285" t="s">
        <v>305</v>
      </c>
      <c r="DK192" s="286"/>
      <c r="DL192" s="286"/>
      <c r="DM192" s="286"/>
      <c r="DN192" s="286"/>
      <c r="DO192" s="286"/>
      <c r="DP192" s="286"/>
      <c r="DQ192" s="286"/>
      <c r="DR192" s="286"/>
      <c r="DS192" s="286"/>
      <c r="DT192" s="287"/>
    </row>
    <row r="193" spans="1:124">
      <c r="A193" s="304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85" t="s">
        <v>553</v>
      </c>
      <c r="O193" s="286"/>
      <c r="P193" s="286"/>
      <c r="Q193" s="286"/>
      <c r="R193" s="286"/>
      <c r="S193" s="286"/>
      <c r="T193" s="286"/>
      <c r="U193" s="286"/>
      <c r="V193" s="297">
        <v>35285</v>
      </c>
      <c r="W193" s="102"/>
      <c r="X193" s="102"/>
      <c r="Y193" s="102"/>
      <c r="Z193" s="102"/>
      <c r="AA193" s="103"/>
      <c r="AB193" s="312" t="s">
        <v>252</v>
      </c>
      <c r="AC193" s="313"/>
      <c r="AD193" s="313"/>
      <c r="AE193" s="313"/>
      <c r="AF193" s="313"/>
      <c r="AG193" s="262" t="s">
        <v>577</v>
      </c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1"/>
      <c r="AW193" s="285" t="s">
        <v>585</v>
      </c>
      <c r="AX193" s="286"/>
      <c r="AY193" s="286"/>
      <c r="AZ193" s="286"/>
      <c r="BA193" s="286"/>
      <c r="BB193" s="286"/>
      <c r="BC193" s="286"/>
      <c r="BD193" s="286"/>
      <c r="BE193" s="286"/>
      <c r="BF193" s="286"/>
      <c r="BG193" s="286"/>
      <c r="BH193" s="286"/>
      <c r="BI193" s="286"/>
      <c r="BJ193" s="286"/>
      <c r="BK193" s="286"/>
      <c r="BL193" s="286"/>
      <c r="BM193" s="285" t="s">
        <v>286</v>
      </c>
      <c r="BN193" s="286"/>
      <c r="BO193" s="286"/>
      <c r="BP193" s="286"/>
      <c r="BQ193" s="286"/>
      <c r="BR193" s="286"/>
      <c r="BS193" s="286"/>
      <c r="BT193" s="286"/>
      <c r="BU193" s="285" t="s">
        <v>373</v>
      </c>
      <c r="BV193" s="286"/>
      <c r="BW193" s="286"/>
      <c r="BX193" s="286"/>
      <c r="BY193" s="286"/>
      <c r="BZ193" s="286"/>
      <c r="CA193" s="286"/>
      <c r="CB193" s="286"/>
      <c r="CC193" s="285" t="s">
        <v>300</v>
      </c>
      <c r="CD193" s="286"/>
      <c r="CE193" s="286"/>
      <c r="CF193" s="286"/>
      <c r="CG193" s="286"/>
      <c r="CH193" s="286"/>
      <c r="CI193" s="286"/>
      <c r="CJ193" s="286"/>
      <c r="CK193" s="286"/>
      <c r="CL193" s="286"/>
      <c r="CM193" s="286"/>
      <c r="CN193" s="286"/>
      <c r="CO193" s="286"/>
      <c r="CP193" s="286"/>
      <c r="CQ193" s="286"/>
      <c r="CR193" s="286"/>
      <c r="CS193" s="271" t="s">
        <v>206</v>
      </c>
      <c r="CT193" s="272"/>
      <c r="CU193" s="298">
        <v>2500</v>
      </c>
      <c r="CV193" s="298"/>
      <c r="CW193" s="298"/>
      <c r="CX193" s="298"/>
      <c r="CY193" s="298"/>
      <c r="CZ193" s="299"/>
      <c r="DA193" s="274" t="s">
        <v>206</v>
      </c>
      <c r="DB193" s="275"/>
      <c r="DC193" s="275">
        <f t="shared" si="6"/>
        <v>2500</v>
      </c>
      <c r="DD193" s="275"/>
      <c r="DE193" s="275"/>
      <c r="DF193" s="275"/>
      <c r="DG193" s="275"/>
      <c r="DH193" s="275"/>
      <c r="DI193" s="276"/>
      <c r="DJ193" s="285" t="s">
        <v>305</v>
      </c>
      <c r="DK193" s="286"/>
      <c r="DL193" s="286"/>
      <c r="DM193" s="286"/>
      <c r="DN193" s="286"/>
      <c r="DO193" s="286"/>
      <c r="DP193" s="286"/>
      <c r="DQ193" s="286"/>
      <c r="DR193" s="286"/>
      <c r="DS193" s="286"/>
      <c r="DT193" s="287"/>
    </row>
    <row r="194" spans="1:124">
      <c r="A194" s="304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85" t="s">
        <v>554</v>
      </c>
      <c r="O194" s="286"/>
      <c r="P194" s="286"/>
      <c r="Q194" s="286"/>
      <c r="R194" s="286"/>
      <c r="S194" s="286"/>
      <c r="T194" s="286"/>
      <c r="U194" s="286"/>
      <c r="V194" s="305" t="s">
        <v>497</v>
      </c>
      <c r="W194" s="102"/>
      <c r="X194" s="102"/>
      <c r="Y194" s="102"/>
      <c r="Z194" s="102"/>
      <c r="AA194" s="103"/>
      <c r="AB194" s="312" t="s">
        <v>254</v>
      </c>
      <c r="AC194" s="313"/>
      <c r="AD194" s="313"/>
      <c r="AE194" s="313"/>
      <c r="AF194" s="313"/>
      <c r="AG194" s="262" t="s">
        <v>578</v>
      </c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1"/>
      <c r="AW194" s="285"/>
      <c r="AX194" s="286"/>
      <c r="AY194" s="286"/>
      <c r="AZ194" s="286"/>
      <c r="BA194" s="286"/>
      <c r="BB194" s="286"/>
      <c r="BC194" s="286"/>
      <c r="BD194" s="286"/>
      <c r="BE194" s="285"/>
      <c r="BF194" s="286"/>
      <c r="BG194" s="286"/>
      <c r="BH194" s="286"/>
      <c r="BI194" s="286"/>
      <c r="BJ194" s="286"/>
      <c r="BK194" s="286"/>
      <c r="BL194" s="286"/>
      <c r="BM194" s="285" t="s">
        <v>285</v>
      </c>
      <c r="BN194" s="286"/>
      <c r="BO194" s="286"/>
      <c r="BP194" s="286"/>
      <c r="BQ194" s="286"/>
      <c r="BR194" s="286"/>
      <c r="BS194" s="286"/>
      <c r="BT194" s="286"/>
      <c r="BU194" s="285" t="s">
        <v>599</v>
      </c>
      <c r="BV194" s="286"/>
      <c r="BW194" s="286"/>
      <c r="BX194" s="286"/>
      <c r="BY194" s="286"/>
      <c r="BZ194" s="286"/>
      <c r="CA194" s="286"/>
      <c r="CB194" s="286"/>
      <c r="CC194" s="285" t="s">
        <v>602</v>
      </c>
      <c r="CD194" s="286"/>
      <c r="CE194" s="286"/>
      <c r="CF194" s="286"/>
      <c r="CG194" s="286"/>
      <c r="CH194" s="286"/>
      <c r="CI194" s="286"/>
      <c r="CJ194" s="286"/>
      <c r="CK194" s="286"/>
      <c r="CL194" s="286"/>
      <c r="CM194" s="286"/>
      <c r="CN194" s="286"/>
      <c r="CO194" s="286"/>
      <c r="CP194" s="286"/>
      <c r="CQ194" s="286"/>
      <c r="CR194" s="286"/>
      <c r="CS194" s="271" t="s">
        <v>206</v>
      </c>
      <c r="CT194" s="272"/>
      <c r="CU194" s="298">
        <v>164</v>
      </c>
      <c r="CV194" s="298"/>
      <c r="CW194" s="298"/>
      <c r="CX194" s="298"/>
      <c r="CY194" s="298"/>
      <c r="CZ194" s="299"/>
      <c r="DA194" s="274" t="s">
        <v>206</v>
      </c>
      <c r="DB194" s="275"/>
      <c r="DC194" s="275">
        <f t="shared" si="6"/>
        <v>492</v>
      </c>
      <c r="DD194" s="275"/>
      <c r="DE194" s="275"/>
      <c r="DF194" s="275"/>
      <c r="DG194" s="275"/>
      <c r="DH194" s="275"/>
      <c r="DI194" s="276"/>
      <c r="DJ194" s="285" t="s">
        <v>305</v>
      </c>
      <c r="DK194" s="286"/>
      <c r="DL194" s="286"/>
      <c r="DM194" s="286"/>
      <c r="DN194" s="286"/>
      <c r="DO194" s="286"/>
      <c r="DP194" s="286"/>
      <c r="DQ194" s="286"/>
      <c r="DR194" s="286"/>
      <c r="DS194" s="286"/>
      <c r="DT194" s="287"/>
    </row>
    <row r="195" spans="1:124" ht="15" thickBot="1">
      <c r="A195" s="331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21" t="s">
        <v>555</v>
      </c>
      <c r="O195" s="322"/>
      <c r="P195" s="322"/>
      <c r="Q195" s="322"/>
      <c r="R195" s="322"/>
      <c r="S195" s="322"/>
      <c r="T195" s="322"/>
      <c r="U195" s="322"/>
      <c r="V195" s="297">
        <v>36387</v>
      </c>
      <c r="W195" s="102"/>
      <c r="X195" s="102"/>
      <c r="Y195" s="102"/>
      <c r="Z195" s="102"/>
      <c r="AA195" s="103"/>
      <c r="AB195" s="312" t="s">
        <v>252</v>
      </c>
      <c r="AC195" s="313"/>
      <c r="AD195" s="313"/>
      <c r="AE195" s="313"/>
      <c r="AF195" s="313"/>
      <c r="AG195" s="367" t="s">
        <v>579</v>
      </c>
      <c r="AH195" s="368"/>
      <c r="AI195" s="368"/>
      <c r="AJ195" s="368"/>
      <c r="AK195" s="368"/>
      <c r="AL195" s="368"/>
      <c r="AM195" s="368"/>
      <c r="AN195" s="368"/>
      <c r="AO195" s="368"/>
      <c r="AP195" s="368"/>
      <c r="AQ195" s="368"/>
      <c r="AR195" s="368"/>
      <c r="AS195" s="368"/>
      <c r="AT195" s="368"/>
      <c r="AU195" s="368"/>
      <c r="AV195" s="369"/>
      <c r="AW195" s="322"/>
      <c r="AX195" s="322"/>
      <c r="AY195" s="322"/>
      <c r="AZ195" s="322"/>
      <c r="BA195" s="322"/>
      <c r="BB195" s="322"/>
      <c r="BC195" s="322"/>
      <c r="BD195" s="322"/>
      <c r="BE195" s="321"/>
      <c r="BF195" s="322"/>
      <c r="BG195" s="322"/>
      <c r="BH195" s="322"/>
      <c r="BI195" s="322"/>
      <c r="BJ195" s="322"/>
      <c r="BK195" s="322"/>
      <c r="BL195" s="322"/>
      <c r="BM195" s="321" t="s">
        <v>522</v>
      </c>
      <c r="BN195" s="322"/>
      <c r="BO195" s="322"/>
      <c r="BP195" s="322"/>
      <c r="BQ195" s="322"/>
      <c r="BR195" s="322"/>
      <c r="BS195" s="322"/>
      <c r="BT195" s="322"/>
      <c r="BU195" s="321" t="s">
        <v>600</v>
      </c>
      <c r="BV195" s="322"/>
      <c r="BW195" s="322"/>
      <c r="BX195" s="322"/>
      <c r="BY195" s="322"/>
      <c r="BZ195" s="322"/>
      <c r="CA195" s="322"/>
      <c r="CB195" s="322"/>
      <c r="CC195" s="322"/>
      <c r="CD195" s="322"/>
      <c r="CE195" s="322"/>
      <c r="CF195" s="322"/>
      <c r="CG195" s="322"/>
      <c r="CH195" s="322"/>
      <c r="CI195" s="322"/>
      <c r="CJ195" s="322"/>
      <c r="CK195" s="322"/>
      <c r="CL195" s="322"/>
      <c r="CM195" s="322"/>
      <c r="CN195" s="322"/>
      <c r="CO195" s="322"/>
      <c r="CP195" s="322"/>
      <c r="CQ195" s="322"/>
      <c r="CR195" s="322"/>
      <c r="CS195" s="271" t="s">
        <v>206</v>
      </c>
      <c r="CT195" s="272"/>
      <c r="CU195" s="298">
        <v>6500</v>
      </c>
      <c r="CV195" s="298"/>
      <c r="CW195" s="298"/>
      <c r="CX195" s="298"/>
      <c r="CY195" s="298"/>
      <c r="CZ195" s="299"/>
      <c r="DA195" s="274" t="s">
        <v>206</v>
      </c>
      <c r="DB195" s="275"/>
      <c r="DC195" s="275">
        <f t="shared" si="6"/>
        <v>6500</v>
      </c>
      <c r="DD195" s="275"/>
      <c r="DE195" s="275"/>
      <c r="DF195" s="275"/>
      <c r="DG195" s="275"/>
      <c r="DH195" s="275"/>
      <c r="DI195" s="276"/>
      <c r="DJ195" s="285" t="s">
        <v>305</v>
      </c>
      <c r="DK195" s="286"/>
      <c r="DL195" s="286"/>
      <c r="DM195" s="286"/>
      <c r="DN195" s="286"/>
      <c r="DO195" s="286"/>
      <c r="DP195" s="286"/>
      <c r="DQ195" s="286"/>
      <c r="DR195" s="286"/>
      <c r="DS195" s="286"/>
      <c r="DT195" s="287"/>
    </row>
    <row r="196" spans="1:124" ht="21.6" thickBot="1">
      <c r="A196" s="3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23" t="s">
        <v>82</v>
      </c>
      <c r="Q196" s="323"/>
      <c r="R196" s="323"/>
      <c r="S196" s="323"/>
      <c r="T196" s="323"/>
      <c r="U196" s="323"/>
      <c r="V196" s="323"/>
      <c r="W196" s="323"/>
      <c r="X196" s="323"/>
      <c r="Y196" s="323"/>
      <c r="Z196" s="323"/>
      <c r="AA196" s="323"/>
      <c r="AB196" s="323"/>
      <c r="AC196" s="323"/>
      <c r="AD196" s="323"/>
      <c r="AE196" s="323"/>
      <c r="AF196" s="323"/>
      <c r="AG196" s="323"/>
      <c r="AH196" s="323"/>
      <c r="AI196" s="323"/>
      <c r="AJ196" s="323"/>
      <c r="AK196" s="323"/>
      <c r="AL196" s="323"/>
      <c r="AM196" s="323"/>
      <c r="AN196" s="323"/>
      <c r="AO196" s="323"/>
      <c r="AP196" s="323"/>
      <c r="AQ196" s="323"/>
      <c r="AR196" s="323"/>
      <c r="AS196" s="323"/>
      <c r="AT196" s="323"/>
      <c r="AU196" s="323"/>
      <c r="AV196" s="323"/>
      <c r="AW196" s="323"/>
      <c r="AX196" s="323"/>
      <c r="AY196" s="323"/>
      <c r="AZ196" s="323"/>
      <c r="BA196" s="323"/>
      <c r="BB196" s="323"/>
      <c r="BC196" s="323"/>
      <c r="BD196" s="323"/>
      <c r="BE196" s="323"/>
      <c r="BF196" s="323"/>
      <c r="BG196" s="323"/>
      <c r="BH196" s="323"/>
      <c r="BI196" s="323"/>
      <c r="BJ196" s="323"/>
      <c r="BK196" s="323"/>
      <c r="BL196" s="323"/>
      <c r="BM196" s="323"/>
      <c r="BN196" s="323"/>
      <c r="BO196" s="323"/>
      <c r="BP196" s="323"/>
      <c r="BQ196" s="323"/>
      <c r="BR196" s="323"/>
      <c r="BS196" s="323"/>
      <c r="BT196" s="323"/>
      <c r="BU196" s="323"/>
      <c r="BV196" s="323"/>
      <c r="BW196" s="323"/>
      <c r="BX196" s="323"/>
      <c r="BY196" s="323"/>
      <c r="BZ196" s="323"/>
      <c r="CA196" s="323"/>
      <c r="CB196" s="323"/>
      <c r="CC196" s="323"/>
      <c r="CD196" s="323"/>
      <c r="CE196" s="323"/>
      <c r="CF196" s="323"/>
      <c r="CG196" s="323"/>
      <c r="CH196" s="323"/>
      <c r="CI196" s="323"/>
      <c r="CJ196" s="323"/>
      <c r="CK196" s="323"/>
      <c r="CL196" s="323"/>
      <c r="CM196" s="323"/>
      <c r="CN196" s="323"/>
      <c r="CO196" s="323"/>
      <c r="CP196" s="323"/>
      <c r="CQ196" s="323"/>
      <c r="CR196" s="323"/>
      <c r="CS196" s="323"/>
      <c r="CT196" s="323"/>
      <c r="CU196" s="323"/>
      <c r="CV196" s="323"/>
      <c r="CW196" s="323"/>
      <c r="CX196" s="323"/>
      <c r="CY196" s="323"/>
      <c r="CZ196" s="14"/>
      <c r="DA196" s="327" t="s">
        <v>206</v>
      </c>
      <c r="DB196" s="328"/>
      <c r="DC196" s="329">
        <f>SUM(DA170:DI195)</f>
        <v>123436.3</v>
      </c>
      <c r="DD196" s="329"/>
      <c r="DE196" s="329"/>
      <c r="DF196" s="329"/>
      <c r="DG196" s="329"/>
      <c r="DH196" s="329"/>
      <c r="DI196" s="329"/>
      <c r="DJ196" s="329"/>
      <c r="DK196" s="329"/>
      <c r="DL196" s="329"/>
      <c r="DM196" s="329"/>
      <c r="DN196" s="329"/>
      <c r="DO196" s="329"/>
      <c r="DP196" s="329"/>
      <c r="DQ196" s="329"/>
      <c r="DR196" s="329"/>
      <c r="DS196" s="329"/>
      <c r="DT196" s="330"/>
    </row>
    <row r="197" spans="1:124" ht="20.39999999999999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324" t="s">
        <v>83</v>
      </c>
      <c r="DK197" s="324"/>
      <c r="DL197" s="324"/>
      <c r="DM197" s="324"/>
      <c r="DN197" s="324"/>
      <c r="DO197" s="324"/>
      <c r="DP197" s="325" t="s">
        <v>396</v>
      </c>
      <c r="DQ197" s="326"/>
      <c r="DR197" s="326"/>
      <c r="DS197" s="326"/>
      <c r="DT197" s="1"/>
    </row>
    <row r="202" spans="1:124" ht="16.8">
      <c r="A202" s="232" t="s">
        <v>61</v>
      </c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</row>
    <row r="203" spans="1:124" ht="21">
      <c r="A203" s="233" t="s">
        <v>4</v>
      </c>
      <c r="B203" s="234"/>
      <c r="C203" s="234"/>
      <c r="D203" s="234"/>
      <c r="E203" s="234"/>
      <c r="F203" s="2"/>
      <c r="G203" s="235" t="s">
        <v>197</v>
      </c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  <c r="AA203" s="235"/>
      <c r="AB203" s="235"/>
      <c r="AC203" s="235"/>
      <c r="AD203" s="235"/>
      <c r="AE203" s="236"/>
      <c r="AF203" s="233" t="s">
        <v>5</v>
      </c>
      <c r="AG203" s="234"/>
      <c r="AH203" s="234"/>
      <c r="AI203" s="234"/>
      <c r="AJ203" s="234"/>
      <c r="AK203" s="234"/>
      <c r="AL203" s="2"/>
      <c r="AM203" s="235" t="s">
        <v>6</v>
      </c>
      <c r="AN203" s="235"/>
      <c r="AO203" s="235"/>
      <c r="AP203" s="235"/>
      <c r="AQ203" s="235"/>
      <c r="AR203" s="235"/>
      <c r="AS203" s="235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6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233" t="s">
        <v>8</v>
      </c>
      <c r="BV203" s="234"/>
      <c r="BW203" s="234"/>
      <c r="BX203" s="234"/>
      <c r="BY203" s="234"/>
      <c r="BZ203" s="2"/>
      <c r="CA203" s="237">
        <v>1009</v>
      </c>
      <c r="CB203" s="235"/>
      <c r="CC203" s="235"/>
      <c r="CD203" s="235"/>
      <c r="CE203" s="235"/>
      <c r="CF203" s="235"/>
      <c r="CG203" s="235"/>
      <c r="CH203" s="235"/>
      <c r="CI203" s="236"/>
      <c r="CJ203" s="233" t="s">
        <v>9</v>
      </c>
      <c r="CK203" s="234"/>
      <c r="CL203" s="234"/>
      <c r="CM203" s="234"/>
      <c r="CN203" s="234"/>
      <c r="CO203" s="2"/>
      <c r="CP203" s="237" t="s">
        <v>214</v>
      </c>
      <c r="CQ203" s="235"/>
      <c r="CR203" s="235"/>
      <c r="CS203" s="235"/>
      <c r="CT203" s="235"/>
      <c r="CU203" s="235"/>
      <c r="CV203" s="235"/>
      <c r="CW203" s="235"/>
      <c r="CX203" s="236"/>
      <c r="CY203" s="1"/>
      <c r="CZ203" s="1"/>
      <c r="DA203" s="1"/>
      <c r="DB203" s="1"/>
      <c r="DC203" s="1"/>
      <c r="DD203" s="1"/>
      <c r="DE203" s="1"/>
      <c r="DF203" s="1"/>
      <c r="DG203" s="233" t="s">
        <v>62</v>
      </c>
      <c r="DH203" s="234"/>
      <c r="DI203" s="234"/>
      <c r="DJ203" s="234"/>
      <c r="DK203" s="234"/>
      <c r="DL203" s="2"/>
      <c r="DM203" s="235">
        <v>2024</v>
      </c>
      <c r="DN203" s="235"/>
      <c r="DO203" s="235"/>
      <c r="DP203" s="235"/>
      <c r="DQ203" s="235"/>
      <c r="DR203" s="235"/>
      <c r="DS203" s="235"/>
      <c r="DT203" s="236"/>
    </row>
    <row r="204" spans="1:124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</row>
    <row r="205" spans="1:124" ht="20.399999999999999">
      <c r="A205" s="238" t="s">
        <v>63</v>
      </c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239"/>
      <c r="AP205" s="239"/>
      <c r="AQ205" s="239"/>
      <c r="AR205" s="239"/>
      <c r="AS205" s="239"/>
      <c r="AT205" s="239"/>
      <c r="AU205" s="239"/>
      <c r="AV205" s="239"/>
      <c r="AW205" s="239"/>
      <c r="AX205" s="239"/>
      <c r="AY205" s="239"/>
      <c r="AZ205" s="239"/>
      <c r="BA205" s="239"/>
      <c r="BB205" s="239"/>
      <c r="BC205" s="239"/>
      <c r="BD205" s="239"/>
      <c r="BE205" s="239"/>
      <c r="BF205" s="239"/>
      <c r="BG205" s="239"/>
      <c r="BH205" s="239"/>
      <c r="BI205" s="239"/>
      <c r="BJ205" s="239"/>
      <c r="BK205" s="239"/>
      <c r="BL205" s="239"/>
      <c r="BM205" s="239"/>
      <c r="BN205" s="239"/>
      <c r="BO205" s="239"/>
      <c r="BP205" s="239"/>
      <c r="BQ205" s="239"/>
      <c r="BR205" s="239"/>
      <c r="BS205" s="239"/>
      <c r="BT205" s="239"/>
      <c r="BU205" s="239"/>
      <c r="BV205" s="239"/>
      <c r="BW205" s="239"/>
      <c r="BX205" s="239"/>
      <c r="BY205" s="239"/>
      <c r="BZ205" s="239"/>
      <c r="CA205" s="239"/>
      <c r="CB205" s="239"/>
      <c r="CC205" s="239"/>
      <c r="CD205" s="239"/>
      <c r="CE205" s="239"/>
      <c r="CF205" s="239"/>
      <c r="CG205" s="239"/>
      <c r="CH205" s="239"/>
      <c r="CI205" s="239"/>
      <c r="CJ205" s="239"/>
      <c r="CK205" s="239"/>
      <c r="CL205" s="239"/>
      <c r="CM205" s="239"/>
      <c r="CN205" s="239"/>
      <c r="CO205" s="239"/>
      <c r="CP205" s="239"/>
      <c r="CQ205" s="239"/>
      <c r="CR205" s="239"/>
      <c r="CS205" s="239"/>
      <c r="CT205" s="239"/>
      <c r="CU205" s="239"/>
      <c r="CV205" s="239"/>
      <c r="CW205" s="239"/>
      <c r="CX205" s="239"/>
      <c r="CY205" s="239"/>
      <c r="CZ205" s="239"/>
      <c r="DA205" s="239"/>
      <c r="DB205" s="239"/>
      <c r="DC205" s="239"/>
      <c r="DD205" s="239"/>
      <c r="DE205" s="239"/>
      <c r="DF205" s="239"/>
      <c r="DG205" s="239"/>
      <c r="DH205" s="239"/>
      <c r="DI205" s="239"/>
      <c r="DJ205" s="239"/>
      <c r="DK205" s="239"/>
      <c r="DL205" s="239"/>
      <c r="DM205" s="239"/>
      <c r="DN205" s="239"/>
      <c r="DO205" s="239"/>
      <c r="DP205" s="239"/>
      <c r="DQ205" s="239"/>
      <c r="DR205" s="239"/>
      <c r="DS205" s="239"/>
      <c r="DT205" s="240"/>
    </row>
    <row r="206" spans="1:124" ht="15" thickBot="1">
      <c r="A206" s="241" t="s">
        <v>64</v>
      </c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  <c r="AM206" s="242"/>
      <c r="AN206" s="242"/>
      <c r="AO206" s="242"/>
      <c r="AP206" s="242"/>
      <c r="AQ206" s="242"/>
      <c r="AR206" s="242"/>
      <c r="AS206" s="242"/>
      <c r="AT206" s="242"/>
      <c r="AU206" s="242"/>
      <c r="AV206" s="242"/>
      <c r="AW206" s="242"/>
      <c r="AX206" s="242"/>
      <c r="AY206" s="242"/>
      <c r="AZ206" s="242"/>
      <c r="BA206" s="242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6"/>
    </row>
    <row r="207" spans="1:124" ht="15" thickBot="1"/>
    <row r="208" spans="1:124" ht="17.399999999999999">
      <c r="A208" s="243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5"/>
      <c r="N208" s="246"/>
      <c r="O208" s="244"/>
      <c r="P208" s="244"/>
      <c r="Q208" s="244"/>
      <c r="R208" s="244"/>
      <c r="S208" s="244"/>
      <c r="T208" s="244"/>
      <c r="U208" s="245"/>
      <c r="V208" s="247" t="s">
        <v>65</v>
      </c>
      <c r="W208" s="248"/>
      <c r="X208" s="248"/>
      <c r="Y208" s="248"/>
      <c r="Z208" s="248"/>
      <c r="AA208" s="249"/>
      <c r="AB208" s="246"/>
      <c r="AC208" s="244"/>
      <c r="AD208" s="244"/>
      <c r="AE208" s="244"/>
      <c r="AF208" s="245"/>
      <c r="AG208" s="246"/>
      <c r="AH208" s="244"/>
      <c r="AI208" s="244"/>
      <c r="AJ208" s="244"/>
      <c r="AK208" s="244"/>
      <c r="AL208" s="244"/>
      <c r="AM208" s="244"/>
      <c r="AN208" s="244"/>
      <c r="AO208" s="244"/>
      <c r="AP208" s="244"/>
      <c r="AQ208" s="244"/>
      <c r="AR208" s="244"/>
      <c r="AS208" s="244"/>
      <c r="AT208" s="244"/>
      <c r="AU208" s="244"/>
      <c r="AV208" s="245"/>
      <c r="AW208" s="250" t="s">
        <v>66</v>
      </c>
      <c r="AX208" s="251"/>
      <c r="AY208" s="251"/>
      <c r="AZ208" s="251"/>
      <c r="BA208" s="251"/>
      <c r="BB208" s="251"/>
      <c r="BC208" s="251"/>
      <c r="BD208" s="251"/>
      <c r="BE208" s="251"/>
      <c r="BF208" s="251"/>
      <c r="BG208" s="251"/>
      <c r="BH208" s="251"/>
      <c r="BI208" s="251"/>
      <c r="BJ208" s="251"/>
      <c r="BK208" s="251"/>
      <c r="BL208" s="251"/>
      <c r="BM208" s="251"/>
      <c r="BN208" s="251"/>
      <c r="BO208" s="251"/>
      <c r="BP208" s="251"/>
      <c r="BQ208" s="251"/>
      <c r="BR208" s="251"/>
      <c r="BS208" s="251"/>
      <c r="BT208" s="251"/>
      <c r="BU208" s="251"/>
      <c r="BV208" s="251"/>
      <c r="BW208" s="251"/>
      <c r="BX208" s="251"/>
      <c r="BY208" s="251"/>
      <c r="BZ208" s="251"/>
      <c r="CA208" s="251"/>
      <c r="CB208" s="251"/>
      <c r="CC208" s="251"/>
      <c r="CD208" s="251"/>
      <c r="CE208" s="251"/>
      <c r="CF208" s="251"/>
      <c r="CG208" s="251"/>
      <c r="CH208" s="251"/>
      <c r="CI208" s="251"/>
      <c r="CJ208" s="251"/>
      <c r="CK208" s="251"/>
      <c r="CL208" s="251"/>
      <c r="CM208" s="251"/>
      <c r="CN208" s="251"/>
      <c r="CO208" s="251"/>
      <c r="CP208" s="251"/>
      <c r="CQ208" s="251"/>
      <c r="CR208" s="252"/>
      <c r="CS208" s="246"/>
      <c r="CT208" s="244"/>
      <c r="CU208" s="244"/>
      <c r="CV208" s="244"/>
      <c r="CW208" s="244"/>
      <c r="CX208" s="244"/>
      <c r="CY208" s="244"/>
      <c r="CZ208" s="245"/>
      <c r="DA208" s="246"/>
      <c r="DB208" s="244"/>
      <c r="DC208" s="244"/>
      <c r="DD208" s="244"/>
      <c r="DE208" s="244"/>
      <c r="DF208" s="244"/>
      <c r="DG208" s="244"/>
      <c r="DH208" s="244"/>
      <c r="DI208" s="245"/>
      <c r="DJ208" s="246"/>
      <c r="DK208" s="244"/>
      <c r="DL208" s="244"/>
      <c r="DM208" s="244"/>
      <c r="DN208" s="244"/>
      <c r="DO208" s="244"/>
      <c r="DP208" s="244"/>
      <c r="DQ208" s="244"/>
      <c r="DR208" s="244"/>
      <c r="DS208" s="244"/>
      <c r="DT208" s="253"/>
    </row>
    <row r="209" spans="1:124">
      <c r="A209" s="264" t="s">
        <v>67</v>
      </c>
      <c r="B209" s="257"/>
      <c r="C209" s="257"/>
      <c r="D209" s="257"/>
      <c r="E209" s="257"/>
      <c r="F209" s="257"/>
      <c r="G209" s="257"/>
      <c r="H209" s="257"/>
      <c r="I209" s="257"/>
      <c r="J209" s="257"/>
      <c r="K209" s="257"/>
      <c r="L209" s="257"/>
      <c r="M209" s="258"/>
      <c r="N209" s="256" t="s">
        <v>68</v>
      </c>
      <c r="O209" s="257"/>
      <c r="P209" s="257"/>
      <c r="Q209" s="257"/>
      <c r="R209" s="257"/>
      <c r="S209" s="257"/>
      <c r="T209" s="257"/>
      <c r="U209" s="258"/>
      <c r="V209" s="265" t="s">
        <v>69</v>
      </c>
      <c r="W209" s="266"/>
      <c r="X209" s="266"/>
      <c r="Y209" s="266"/>
      <c r="Z209" s="266"/>
      <c r="AA209" s="267"/>
      <c r="AB209" s="268" t="s">
        <v>70</v>
      </c>
      <c r="AC209" s="269"/>
      <c r="AD209" s="269"/>
      <c r="AE209" s="269"/>
      <c r="AF209" s="270"/>
      <c r="AG209" s="256" t="s">
        <v>71</v>
      </c>
      <c r="AH209" s="257"/>
      <c r="AI209" s="257"/>
      <c r="AJ209" s="257"/>
      <c r="AK209" s="257"/>
      <c r="AL209" s="257"/>
      <c r="AM209" s="257"/>
      <c r="AN209" s="257"/>
      <c r="AO209" s="257"/>
      <c r="AP209" s="257"/>
      <c r="AQ209" s="257"/>
      <c r="AR209" s="257"/>
      <c r="AS209" s="257"/>
      <c r="AT209" s="257"/>
      <c r="AU209" s="257"/>
      <c r="AV209" s="258"/>
      <c r="AW209" s="283" t="s">
        <v>72</v>
      </c>
      <c r="AX209" s="254"/>
      <c r="AY209" s="254"/>
      <c r="AZ209" s="254"/>
      <c r="BA209" s="254"/>
      <c r="BB209" s="254"/>
      <c r="BC209" s="254"/>
      <c r="BD209" s="254"/>
      <c r="BE209" s="254" t="s">
        <v>73</v>
      </c>
      <c r="BF209" s="254"/>
      <c r="BG209" s="254"/>
      <c r="BH209" s="254"/>
      <c r="BI209" s="254"/>
      <c r="BJ209" s="254"/>
      <c r="BK209" s="254"/>
      <c r="BL209" s="254"/>
      <c r="BM209" s="254" t="s">
        <v>74</v>
      </c>
      <c r="BN209" s="254"/>
      <c r="BO209" s="254"/>
      <c r="BP209" s="254"/>
      <c r="BQ209" s="254"/>
      <c r="BR209" s="254"/>
      <c r="BS209" s="254"/>
      <c r="BT209" s="254"/>
      <c r="BU209" s="385" t="s">
        <v>75</v>
      </c>
      <c r="BV209" s="254"/>
      <c r="BW209" s="254"/>
      <c r="BX209" s="254"/>
      <c r="BY209" s="254"/>
      <c r="BZ209" s="254"/>
      <c r="CA209" s="254"/>
      <c r="CB209" s="254"/>
      <c r="CC209" s="254" t="s">
        <v>76</v>
      </c>
      <c r="CD209" s="254"/>
      <c r="CE209" s="254"/>
      <c r="CF209" s="254"/>
      <c r="CG209" s="254"/>
      <c r="CH209" s="254"/>
      <c r="CI209" s="254"/>
      <c r="CJ209" s="254"/>
      <c r="CK209" s="385" t="s">
        <v>77</v>
      </c>
      <c r="CL209" s="254"/>
      <c r="CM209" s="254"/>
      <c r="CN209" s="254"/>
      <c r="CO209" s="254"/>
      <c r="CP209" s="254"/>
      <c r="CQ209" s="254"/>
      <c r="CR209" s="255"/>
      <c r="CS209" s="256" t="s">
        <v>78</v>
      </c>
      <c r="CT209" s="257"/>
      <c r="CU209" s="257"/>
      <c r="CV209" s="257"/>
      <c r="CW209" s="257"/>
      <c r="CX209" s="257"/>
      <c r="CY209" s="257"/>
      <c r="CZ209" s="258"/>
      <c r="DA209" s="256" t="s">
        <v>79</v>
      </c>
      <c r="DB209" s="257"/>
      <c r="DC209" s="257"/>
      <c r="DD209" s="257"/>
      <c r="DE209" s="257"/>
      <c r="DF209" s="257"/>
      <c r="DG209" s="257"/>
      <c r="DH209" s="257"/>
      <c r="DI209" s="258"/>
      <c r="DJ209" s="256" t="s">
        <v>80</v>
      </c>
      <c r="DK209" s="257"/>
      <c r="DL209" s="257"/>
      <c r="DM209" s="257"/>
      <c r="DN209" s="257"/>
      <c r="DO209" s="257"/>
      <c r="DP209" s="257"/>
      <c r="DQ209" s="257"/>
      <c r="DR209" s="257"/>
      <c r="DS209" s="257"/>
      <c r="DT209" s="259"/>
    </row>
    <row r="210" spans="1:124">
      <c r="A210" s="306" t="s">
        <v>605</v>
      </c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90"/>
      <c r="N210" s="260" t="s">
        <v>608</v>
      </c>
      <c r="O210" s="102"/>
      <c r="P210" s="102"/>
      <c r="Q210" s="102"/>
      <c r="R210" s="102"/>
      <c r="S210" s="102"/>
      <c r="T210" s="102"/>
      <c r="U210" s="103"/>
      <c r="V210" s="297">
        <v>36460</v>
      </c>
      <c r="W210" s="102"/>
      <c r="X210" s="102"/>
      <c r="Y210" s="102"/>
      <c r="Z210" s="102"/>
      <c r="AA210" s="103"/>
      <c r="AB210" s="386" t="s">
        <v>252</v>
      </c>
      <c r="AC210" s="387"/>
      <c r="AD210" s="387"/>
      <c r="AE210" s="387"/>
      <c r="AF210" s="388"/>
      <c r="AG210" s="389" t="s">
        <v>640</v>
      </c>
      <c r="AH210" s="390"/>
      <c r="AI210" s="390"/>
      <c r="AJ210" s="390"/>
      <c r="AK210" s="390"/>
      <c r="AL210" s="390"/>
      <c r="AM210" s="390"/>
      <c r="AN210" s="390"/>
      <c r="AO210" s="390"/>
      <c r="AP210" s="390"/>
      <c r="AQ210" s="390"/>
      <c r="AR210" s="390"/>
      <c r="AS210" s="390"/>
      <c r="AT210" s="390"/>
      <c r="AU210" s="390"/>
      <c r="AV210" s="391"/>
      <c r="AW210" s="260" t="s">
        <v>662</v>
      </c>
      <c r="AX210" s="102"/>
      <c r="AY210" s="102"/>
      <c r="AZ210" s="102"/>
      <c r="BA210" s="102"/>
      <c r="BB210" s="102"/>
      <c r="BC210" s="102"/>
      <c r="BD210" s="103"/>
      <c r="BE210" s="261"/>
      <c r="BF210" s="102"/>
      <c r="BG210" s="102"/>
      <c r="BH210" s="102"/>
      <c r="BI210" s="102"/>
      <c r="BJ210" s="102"/>
      <c r="BK210" s="102"/>
      <c r="BL210" s="103"/>
      <c r="BM210" s="260" t="s">
        <v>288</v>
      </c>
      <c r="BN210" s="102"/>
      <c r="BO210" s="102"/>
      <c r="BP210" s="102"/>
      <c r="BQ210" s="102"/>
      <c r="BR210" s="102"/>
      <c r="BS210" s="102"/>
      <c r="BT210" s="103"/>
      <c r="BU210" s="260" t="s">
        <v>459</v>
      </c>
      <c r="BV210" s="102"/>
      <c r="BW210" s="102"/>
      <c r="BX210" s="102"/>
      <c r="BY210" s="102"/>
      <c r="BZ210" s="102"/>
      <c r="CA210" s="102"/>
      <c r="CB210" s="103"/>
      <c r="CC210" s="261"/>
      <c r="CD210" s="102"/>
      <c r="CE210" s="102"/>
      <c r="CF210" s="102"/>
      <c r="CG210" s="102"/>
      <c r="CH210" s="102"/>
      <c r="CI210" s="102"/>
      <c r="CJ210" s="103"/>
      <c r="CK210" s="337">
        <v>338438</v>
      </c>
      <c r="CL210" s="338"/>
      <c r="CM210" s="338"/>
      <c r="CN210" s="338"/>
      <c r="CO210" s="338"/>
      <c r="CP210" s="338"/>
      <c r="CQ210" s="338"/>
      <c r="CR210" s="339"/>
      <c r="CS210" s="271" t="s">
        <v>206</v>
      </c>
      <c r="CT210" s="272"/>
      <c r="CU210" s="298">
        <v>2995</v>
      </c>
      <c r="CV210" s="298"/>
      <c r="CW210" s="298"/>
      <c r="CX210" s="298"/>
      <c r="CY210" s="298"/>
      <c r="CZ210" s="299"/>
      <c r="DA210" s="274" t="s">
        <v>206</v>
      </c>
      <c r="DB210" s="275"/>
      <c r="DC210" s="275">
        <f t="shared" ref="DC210:DC235" si="7">+AB210*CU210</f>
        <v>2995</v>
      </c>
      <c r="DD210" s="275"/>
      <c r="DE210" s="275"/>
      <c r="DF210" s="275"/>
      <c r="DG210" s="275"/>
      <c r="DH210" s="275"/>
      <c r="DI210" s="276"/>
      <c r="DJ210" s="374" t="s">
        <v>670</v>
      </c>
      <c r="DK210" s="375"/>
      <c r="DL210" s="375"/>
      <c r="DM210" s="375"/>
      <c r="DN210" s="375"/>
      <c r="DO210" s="375"/>
      <c r="DP210" s="375"/>
      <c r="DQ210" s="375"/>
      <c r="DR210" s="375"/>
      <c r="DS210" s="375"/>
      <c r="DT210" s="376"/>
    </row>
    <row r="211" spans="1:124">
      <c r="A211" s="346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90"/>
      <c r="N211" s="307" t="s">
        <v>609</v>
      </c>
      <c r="O211" s="102"/>
      <c r="P211" s="102"/>
      <c r="Q211" s="102"/>
      <c r="R211" s="102"/>
      <c r="S211" s="102"/>
      <c r="T211" s="102"/>
      <c r="U211" s="103"/>
      <c r="V211" s="297">
        <v>37288</v>
      </c>
      <c r="W211" s="102"/>
      <c r="X211" s="102"/>
      <c r="Y211" s="102"/>
      <c r="Z211" s="102"/>
      <c r="AA211" s="103"/>
      <c r="AB211" s="291" t="s">
        <v>252</v>
      </c>
      <c r="AC211" s="295"/>
      <c r="AD211" s="295"/>
      <c r="AE211" s="295"/>
      <c r="AF211" s="296"/>
      <c r="AG211" s="392" t="s">
        <v>641</v>
      </c>
      <c r="AH211" s="393"/>
      <c r="AI211" s="393"/>
      <c r="AJ211" s="393"/>
      <c r="AK211" s="393"/>
      <c r="AL211" s="393"/>
      <c r="AM211" s="393"/>
      <c r="AN211" s="393"/>
      <c r="AO211" s="393"/>
      <c r="AP211" s="393"/>
      <c r="AQ211" s="393"/>
      <c r="AR211" s="393"/>
      <c r="AS211" s="393"/>
      <c r="AT211" s="393"/>
      <c r="AU211" s="393"/>
      <c r="AV211" s="394"/>
      <c r="AW211" s="284"/>
      <c r="AX211" s="90"/>
      <c r="AY211" s="90"/>
      <c r="AZ211" s="90"/>
      <c r="BA211" s="90"/>
      <c r="BB211" s="90"/>
      <c r="BC211" s="90"/>
      <c r="BD211" s="91"/>
      <c r="BE211" s="284"/>
      <c r="BF211" s="90"/>
      <c r="BG211" s="90"/>
      <c r="BH211" s="90"/>
      <c r="BI211" s="90"/>
      <c r="BJ211" s="90"/>
      <c r="BK211" s="90"/>
      <c r="BL211" s="91"/>
      <c r="BM211" s="262" t="s">
        <v>219</v>
      </c>
      <c r="BN211" s="90"/>
      <c r="BO211" s="90"/>
      <c r="BP211" s="90"/>
      <c r="BQ211" s="90"/>
      <c r="BR211" s="90"/>
      <c r="BS211" s="90"/>
      <c r="BT211" s="91"/>
      <c r="BU211" s="262" t="s">
        <v>373</v>
      </c>
      <c r="BV211" s="90"/>
      <c r="BW211" s="90"/>
      <c r="BX211" s="90"/>
      <c r="BY211" s="90"/>
      <c r="BZ211" s="90"/>
      <c r="CA211" s="90"/>
      <c r="CB211" s="91"/>
      <c r="CC211" s="284"/>
      <c r="CD211" s="90"/>
      <c r="CE211" s="90"/>
      <c r="CF211" s="90"/>
      <c r="CG211" s="90"/>
      <c r="CH211" s="90"/>
      <c r="CI211" s="90"/>
      <c r="CJ211" s="91"/>
      <c r="CK211" s="284"/>
      <c r="CL211" s="90"/>
      <c r="CM211" s="90"/>
      <c r="CN211" s="90"/>
      <c r="CO211" s="90"/>
      <c r="CP211" s="90"/>
      <c r="CQ211" s="90"/>
      <c r="CR211" s="91"/>
      <c r="CS211" s="271" t="s">
        <v>206</v>
      </c>
      <c r="CT211" s="272"/>
      <c r="CU211" s="298">
        <v>1500</v>
      </c>
      <c r="CV211" s="298"/>
      <c r="CW211" s="298"/>
      <c r="CX211" s="298"/>
      <c r="CY211" s="298"/>
      <c r="CZ211" s="299"/>
      <c r="DA211" s="274" t="s">
        <v>206</v>
      </c>
      <c r="DB211" s="275"/>
      <c r="DC211" s="275">
        <f t="shared" si="7"/>
        <v>1500</v>
      </c>
      <c r="DD211" s="275"/>
      <c r="DE211" s="275"/>
      <c r="DF211" s="275"/>
      <c r="DG211" s="275"/>
      <c r="DH211" s="275"/>
      <c r="DI211" s="276"/>
      <c r="DJ211" s="262" t="s">
        <v>305</v>
      </c>
      <c r="DK211" s="90"/>
      <c r="DL211" s="90"/>
      <c r="DM211" s="90"/>
      <c r="DN211" s="90"/>
      <c r="DO211" s="90"/>
      <c r="DP211" s="90"/>
      <c r="DQ211" s="90"/>
      <c r="DR211" s="90"/>
      <c r="DS211" s="90"/>
      <c r="DT211" s="263"/>
    </row>
    <row r="212" spans="1:124">
      <c r="A212" s="306" t="s">
        <v>606</v>
      </c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90"/>
      <c r="N212" s="307" t="s">
        <v>611</v>
      </c>
      <c r="O212" s="102"/>
      <c r="P212" s="102"/>
      <c r="Q212" s="102"/>
      <c r="R212" s="102"/>
      <c r="S212" s="102"/>
      <c r="T212" s="102"/>
      <c r="U212" s="103"/>
      <c r="V212" s="305" t="s">
        <v>249</v>
      </c>
      <c r="W212" s="102"/>
      <c r="X212" s="102"/>
      <c r="Y212" s="102"/>
      <c r="Z212" s="102"/>
      <c r="AA212" s="103"/>
      <c r="AB212" s="291" t="s">
        <v>252</v>
      </c>
      <c r="AC212" s="295"/>
      <c r="AD212" s="295"/>
      <c r="AE212" s="295"/>
      <c r="AF212" s="296"/>
      <c r="AG212" s="262" t="s">
        <v>642</v>
      </c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1"/>
      <c r="AW212" s="284"/>
      <c r="AX212" s="90"/>
      <c r="AY212" s="90"/>
      <c r="AZ212" s="90"/>
      <c r="BA212" s="90"/>
      <c r="BB212" s="90"/>
      <c r="BC212" s="90"/>
      <c r="BD212" s="91"/>
      <c r="BE212" s="284"/>
      <c r="BF212" s="90"/>
      <c r="BG212" s="90"/>
      <c r="BH212" s="90"/>
      <c r="BI212" s="90"/>
      <c r="BJ212" s="90"/>
      <c r="BK212" s="90"/>
      <c r="BL212" s="91"/>
      <c r="BM212" s="262" t="s">
        <v>664</v>
      </c>
      <c r="BN212" s="90"/>
      <c r="BO212" s="90"/>
      <c r="BP212" s="90"/>
      <c r="BQ212" s="90"/>
      <c r="BR212" s="90"/>
      <c r="BS212" s="90"/>
      <c r="BT212" s="91"/>
      <c r="BU212" s="284"/>
      <c r="BV212" s="90"/>
      <c r="BW212" s="90"/>
      <c r="BX212" s="90"/>
      <c r="BY212" s="90"/>
      <c r="BZ212" s="90"/>
      <c r="CA212" s="90"/>
      <c r="CB212" s="91"/>
      <c r="CC212" s="284"/>
      <c r="CD212" s="90"/>
      <c r="CE212" s="90"/>
      <c r="CF212" s="90"/>
      <c r="CG212" s="90"/>
      <c r="CH212" s="90"/>
      <c r="CI212" s="90"/>
      <c r="CJ212" s="91"/>
      <c r="CK212" s="284"/>
      <c r="CL212" s="90"/>
      <c r="CM212" s="90"/>
      <c r="CN212" s="90"/>
      <c r="CO212" s="90"/>
      <c r="CP212" s="90"/>
      <c r="CQ212" s="90"/>
      <c r="CR212" s="91"/>
      <c r="CS212" s="271" t="s">
        <v>206</v>
      </c>
      <c r="CT212" s="272"/>
      <c r="CU212" s="298">
        <v>3.5</v>
      </c>
      <c r="CV212" s="298"/>
      <c r="CW212" s="298"/>
      <c r="CX212" s="298"/>
      <c r="CY212" s="298"/>
      <c r="CZ212" s="299"/>
      <c r="DA212" s="274" t="s">
        <v>206</v>
      </c>
      <c r="DB212" s="275"/>
      <c r="DC212" s="275">
        <f t="shared" si="7"/>
        <v>3.5</v>
      </c>
      <c r="DD212" s="275"/>
      <c r="DE212" s="275"/>
      <c r="DF212" s="275"/>
      <c r="DG212" s="275"/>
      <c r="DH212" s="275"/>
      <c r="DI212" s="276"/>
      <c r="DJ212" s="262" t="s">
        <v>305</v>
      </c>
      <c r="DK212" s="90"/>
      <c r="DL212" s="90"/>
      <c r="DM212" s="90"/>
      <c r="DN212" s="90"/>
      <c r="DO212" s="90"/>
      <c r="DP212" s="90"/>
      <c r="DQ212" s="90"/>
      <c r="DR212" s="90"/>
      <c r="DS212" s="90"/>
      <c r="DT212" s="263"/>
    </row>
    <row r="213" spans="1:124">
      <c r="A213" s="308" t="s">
        <v>607</v>
      </c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307" t="s">
        <v>612</v>
      </c>
      <c r="O213" s="102"/>
      <c r="P213" s="102"/>
      <c r="Q213" s="102"/>
      <c r="R213" s="102"/>
      <c r="S213" s="102"/>
      <c r="T213" s="102"/>
      <c r="U213" s="103"/>
      <c r="V213" s="305" t="s">
        <v>497</v>
      </c>
      <c r="W213" s="347"/>
      <c r="X213" s="347"/>
      <c r="Y213" s="347"/>
      <c r="Z213" s="347"/>
      <c r="AA213" s="348"/>
      <c r="AB213" s="312" t="s">
        <v>636</v>
      </c>
      <c r="AC213" s="313"/>
      <c r="AD213" s="313"/>
      <c r="AE213" s="313"/>
      <c r="AF213" s="313"/>
      <c r="AG213" s="285" t="s">
        <v>643</v>
      </c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5"/>
      <c r="AX213" s="286"/>
      <c r="AY213" s="286"/>
      <c r="AZ213" s="286"/>
      <c r="BA213" s="286"/>
      <c r="BB213" s="286"/>
      <c r="BC213" s="286"/>
      <c r="BD213" s="286"/>
      <c r="BE213" s="285"/>
      <c r="BF213" s="286"/>
      <c r="BG213" s="286"/>
      <c r="BH213" s="286"/>
      <c r="BI213" s="286"/>
      <c r="BJ213" s="286"/>
      <c r="BK213" s="286"/>
      <c r="BL213" s="286"/>
      <c r="BM213" s="285" t="s">
        <v>664</v>
      </c>
      <c r="BN213" s="286"/>
      <c r="BO213" s="286"/>
      <c r="BP213" s="286"/>
      <c r="BQ213" s="286"/>
      <c r="BR213" s="286"/>
      <c r="BS213" s="286"/>
      <c r="BT213" s="286"/>
      <c r="BU213" s="285"/>
      <c r="BV213" s="286"/>
      <c r="BW213" s="286"/>
      <c r="BX213" s="286"/>
      <c r="BY213" s="286"/>
      <c r="BZ213" s="286"/>
      <c r="CA213" s="286"/>
      <c r="CB213" s="286"/>
      <c r="CC213" s="286"/>
      <c r="CD213" s="286"/>
      <c r="CE213" s="286"/>
      <c r="CF213" s="286"/>
      <c r="CG213" s="286"/>
      <c r="CH213" s="286"/>
      <c r="CI213" s="286"/>
      <c r="CJ213" s="286"/>
      <c r="CK213" s="341"/>
      <c r="CL213" s="342"/>
      <c r="CM213" s="342"/>
      <c r="CN213" s="342"/>
      <c r="CO213" s="342"/>
      <c r="CP213" s="342"/>
      <c r="CQ213" s="342"/>
      <c r="CR213" s="343"/>
      <c r="CS213" s="271" t="s">
        <v>206</v>
      </c>
      <c r="CT213" s="272"/>
      <c r="CU213" s="298">
        <v>5.44</v>
      </c>
      <c r="CV213" s="298"/>
      <c r="CW213" s="298"/>
      <c r="CX213" s="298"/>
      <c r="CY213" s="298"/>
      <c r="CZ213" s="299"/>
      <c r="DA213" s="274" t="s">
        <v>206</v>
      </c>
      <c r="DB213" s="275"/>
      <c r="DC213" s="275">
        <f t="shared" si="7"/>
        <v>1360</v>
      </c>
      <c r="DD213" s="275"/>
      <c r="DE213" s="275"/>
      <c r="DF213" s="275"/>
      <c r="DG213" s="275"/>
      <c r="DH213" s="275"/>
      <c r="DI213" s="276"/>
      <c r="DJ213" s="285" t="s">
        <v>305</v>
      </c>
      <c r="DK213" s="286"/>
      <c r="DL213" s="286"/>
      <c r="DM213" s="286"/>
      <c r="DN213" s="286"/>
      <c r="DO213" s="286"/>
      <c r="DP213" s="286"/>
      <c r="DQ213" s="286"/>
      <c r="DR213" s="286"/>
      <c r="DS213" s="286"/>
      <c r="DT213" s="287"/>
    </row>
    <row r="214" spans="1:124">
      <c r="A214" s="304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307" t="s">
        <v>613</v>
      </c>
      <c r="O214" s="102"/>
      <c r="P214" s="102"/>
      <c r="Q214" s="102"/>
      <c r="R214" s="102"/>
      <c r="S214" s="102"/>
      <c r="T214" s="102"/>
      <c r="U214" s="103"/>
      <c r="V214" s="305" t="s">
        <v>497</v>
      </c>
      <c r="W214" s="347"/>
      <c r="X214" s="347"/>
      <c r="Y214" s="347"/>
      <c r="Z214" s="347"/>
      <c r="AA214" s="348"/>
      <c r="AB214" s="312" t="s">
        <v>217</v>
      </c>
      <c r="AC214" s="313"/>
      <c r="AD214" s="313"/>
      <c r="AE214" s="313"/>
      <c r="AF214" s="313"/>
      <c r="AG214" s="285" t="s">
        <v>644</v>
      </c>
      <c r="AH214" s="286"/>
      <c r="AI214" s="286"/>
      <c r="AJ214" s="286"/>
      <c r="AK214" s="286"/>
      <c r="AL214" s="286"/>
      <c r="AM214" s="286"/>
      <c r="AN214" s="286"/>
      <c r="AO214" s="286"/>
      <c r="AP214" s="286"/>
      <c r="AQ214" s="286"/>
      <c r="AR214" s="286"/>
      <c r="AS214" s="286"/>
      <c r="AT214" s="286"/>
      <c r="AU214" s="286"/>
      <c r="AV214" s="286"/>
      <c r="AW214" s="285"/>
      <c r="AX214" s="286"/>
      <c r="AY214" s="286"/>
      <c r="AZ214" s="286"/>
      <c r="BA214" s="286"/>
      <c r="BB214" s="286"/>
      <c r="BC214" s="286"/>
      <c r="BD214" s="286"/>
      <c r="BE214" s="286"/>
      <c r="BF214" s="286"/>
      <c r="BG214" s="286"/>
      <c r="BH214" s="286"/>
      <c r="BI214" s="286"/>
      <c r="BJ214" s="286"/>
      <c r="BK214" s="286"/>
      <c r="BL214" s="286"/>
      <c r="BM214" s="285" t="s">
        <v>664</v>
      </c>
      <c r="BN214" s="286"/>
      <c r="BO214" s="286"/>
      <c r="BP214" s="286"/>
      <c r="BQ214" s="286"/>
      <c r="BR214" s="286"/>
      <c r="BS214" s="286"/>
      <c r="BT214" s="286"/>
      <c r="BU214" s="286"/>
      <c r="BV214" s="286"/>
      <c r="BW214" s="286"/>
      <c r="BX214" s="286"/>
      <c r="BY214" s="286"/>
      <c r="BZ214" s="286"/>
      <c r="CA214" s="286"/>
      <c r="CB214" s="286"/>
      <c r="CC214" s="285"/>
      <c r="CD214" s="286"/>
      <c r="CE214" s="286"/>
      <c r="CF214" s="286"/>
      <c r="CG214" s="286"/>
      <c r="CH214" s="286"/>
      <c r="CI214" s="286"/>
      <c r="CJ214" s="286"/>
      <c r="CK214" s="341"/>
      <c r="CL214" s="342"/>
      <c r="CM214" s="342"/>
      <c r="CN214" s="342"/>
      <c r="CO214" s="342"/>
      <c r="CP214" s="342"/>
      <c r="CQ214" s="342"/>
      <c r="CR214" s="343"/>
      <c r="CS214" s="271" t="s">
        <v>206</v>
      </c>
      <c r="CT214" s="272"/>
      <c r="CU214" s="298">
        <v>2.5</v>
      </c>
      <c r="CV214" s="298"/>
      <c r="CW214" s="298"/>
      <c r="CX214" s="298"/>
      <c r="CY214" s="298"/>
      <c r="CZ214" s="299"/>
      <c r="DA214" s="274" t="s">
        <v>206</v>
      </c>
      <c r="DB214" s="275"/>
      <c r="DC214" s="275">
        <f t="shared" si="7"/>
        <v>5</v>
      </c>
      <c r="DD214" s="275"/>
      <c r="DE214" s="275"/>
      <c r="DF214" s="275"/>
      <c r="DG214" s="275"/>
      <c r="DH214" s="275"/>
      <c r="DI214" s="276"/>
      <c r="DJ214" s="285" t="s">
        <v>305</v>
      </c>
      <c r="DK214" s="286"/>
      <c r="DL214" s="286"/>
      <c r="DM214" s="286"/>
      <c r="DN214" s="286"/>
      <c r="DO214" s="286"/>
      <c r="DP214" s="286"/>
      <c r="DQ214" s="286"/>
      <c r="DR214" s="286"/>
      <c r="DS214" s="286"/>
      <c r="DT214" s="287"/>
    </row>
    <row r="215" spans="1:124">
      <c r="A215" s="304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307" t="s">
        <v>614</v>
      </c>
      <c r="O215" s="102"/>
      <c r="P215" s="102"/>
      <c r="Q215" s="102"/>
      <c r="R215" s="102"/>
      <c r="S215" s="102"/>
      <c r="T215" s="102"/>
      <c r="U215" s="103"/>
      <c r="V215" s="305" t="s">
        <v>249</v>
      </c>
      <c r="W215" s="395"/>
      <c r="X215" s="395"/>
      <c r="Y215" s="395"/>
      <c r="Z215" s="395"/>
      <c r="AA215" s="396"/>
      <c r="AB215" s="291" t="s">
        <v>252</v>
      </c>
      <c r="AC215" s="295"/>
      <c r="AD215" s="295"/>
      <c r="AE215" s="295"/>
      <c r="AF215" s="296"/>
      <c r="AG215" s="262" t="s">
        <v>645</v>
      </c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1"/>
      <c r="AW215" s="262"/>
      <c r="AX215" s="90"/>
      <c r="AY215" s="90"/>
      <c r="AZ215" s="90"/>
      <c r="BA215" s="90"/>
      <c r="BB215" s="90"/>
      <c r="BC215" s="90"/>
      <c r="BD215" s="91"/>
      <c r="BE215" s="284"/>
      <c r="BF215" s="90"/>
      <c r="BG215" s="90"/>
      <c r="BH215" s="90"/>
      <c r="BI215" s="90"/>
      <c r="BJ215" s="90"/>
      <c r="BK215" s="90"/>
      <c r="BL215" s="91"/>
      <c r="BM215" s="262" t="s">
        <v>665</v>
      </c>
      <c r="BN215" s="90"/>
      <c r="BO215" s="90"/>
      <c r="BP215" s="90"/>
      <c r="BQ215" s="90"/>
      <c r="BR215" s="90"/>
      <c r="BS215" s="90"/>
      <c r="BT215" s="91"/>
      <c r="BU215" s="284"/>
      <c r="BV215" s="90"/>
      <c r="BW215" s="90"/>
      <c r="BX215" s="90"/>
      <c r="BY215" s="90"/>
      <c r="BZ215" s="90"/>
      <c r="CA215" s="90"/>
      <c r="CB215" s="91"/>
      <c r="CC215" s="262"/>
      <c r="CD215" s="90"/>
      <c r="CE215" s="90"/>
      <c r="CF215" s="90"/>
      <c r="CG215" s="90"/>
      <c r="CH215" s="90"/>
      <c r="CI215" s="90"/>
      <c r="CJ215" s="91"/>
      <c r="CK215" s="341"/>
      <c r="CL215" s="342"/>
      <c r="CM215" s="342"/>
      <c r="CN215" s="342"/>
      <c r="CO215" s="342"/>
      <c r="CP215" s="342"/>
      <c r="CQ215" s="342"/>
      <c r="CR215" s="343"/>
      <c r="CS215" s="271" t="s">
        <v>206</v>
      </c>
      <c r="CT215" s="272"/>
      <c r="CU215" s="298">
        <v>4</v>
      </c>
      <c r="CV215" s="298"/>
      <c r="CW215" s="298"/>
      <c r="CX215" s="298"/>
      <c r="CY215" s="298"/>
      <c r="CZ215" s="299"/>
      <c r="DA215" s="274" t="s">
        <v>206</v>
      </c>
      <c r="DB215" s="275"/>
      <c r="DC215" s="275">
        <f t="shared" si="7"/>
        <v>4</v>
      </c>
      <c r="DD215" s="275"/>
      <c r="DE215" s="275"/>
      <c r="DF215" s="275"/>
      <c r="DG215" s="275"/>
      <c r="DH215" s="275"/>
      <c r="DI215" s="276"/>
      <c r="DJ215" s="262" t="s">
        <v>305</v>
      </c>
      <c r="DK215" s="90"/>
      <c r="DL215" s="90"/>
      <c r="DM215" s="90"/>
      <c r="DN215" s="90"/>
      <c r="DO215" s="90"/>
      <c r="DP215" s="90"/>
      <c r="DQ215" s="90"/>
      <c r="DR215" s="90"/>
      <c r="DS215" s="90"/>
      <c r="DT215" s="263"/>
    </row>
    <row r="216" spans="1:124">
      <c r="A216" s="306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90"/>
      <c r="N216" s="307" t="s">
        <v>615</v>
      </c>
      <c r="O216" s="102"/>
      <c r="P216" s="102"/>
      <c r="Q216" s="102"/>
      <c r="R216" s="102"/>
      <c r="S216" s="102"/>
      <c r="T216" s="102"/>
      <c r="U216" s="103"/>
      <c r="V216" s="305" t="s">
        <v>249</v>
      </c>
      <c r="W216" s="395"/>
      <c r="X216" s="395"/>
      <c r="Y216" s="395"/>
      <c r="Z216" s="395"/>
      <c r="AA216" s="396"/>
      <c r="AB216" s="291" t="s">
        <v>500</v>
      </c>
      <c r="AC216" s="295"/>
      <c r="AD216" s="295"/>
      <c r="AE216" s="295"/>
      <c r="AF216" s="296"/>
      <c r="AG216" s="262" t="s">
        <v>646</v>
      </c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1"/>
      <c r="AW216" s="284"/>
      <c r="AX216" s="90"/>
      <c r="AY216" s="90"/>
      <c r="AZ216" s="90"/>
      <c r="BA216" s="90"/>
      <c r="BB216" s="90"/>
      <c r="BC216" s="90"/>
      <c r="BD216" s="91"/>
      <c r="BE216" s="284"/>
      <c r="BF216" s="90"/>
      <c r="BG216" s="90"/>
      <c r="BH216" s="90"/>
      <c r="BI216" s="90"/>
      <c r="BJ216" s="90"/>
      <c r="BK216" s="90"/>
      <c r="BL216" s="91"/>
      <c r="BM216" s="262" t="s">
        <v>589</v>
      </c>
      <c r="BN216" s="90"/>
      <c r="BO216" s="90"/>
      <c r="BP216" s="90"/>
      <c r="BQ216" s="90"/>
      <c r="BR216" s="90"/>
      <c r="BS216" s="90"/>
      <c r="BT216" s="91"/>
      <c r="BU216" s="262"/>
      <c r="BV216" s="90"/>
      <c r="BW216" s="90"/>
      <c r="BX216" s="90"/>
      <c r="BY216" s="90"/>
      <c r="BZ216" s="90"/>
      <c r="CA216" s="90"/>
      <c r="CB216" s="91"/>
      <c r="CC216" s="262" t="s">
        <v>300</v>
      </c>
      <c r="CD216" s="90"/>
      <c r="CE216" s="90"/>
      <c r="CF216" s="90"/>
      <c r="CG216" s="90"/>
      <c r="CH216" s="90"/>
      <c r="CI216" s="90"/>
      <c r="CJ216" s="91"/>
      <c r="CK216" s="284"/>
      <c r="CL216" s="90"/>
      <c r="CM216" s="90"/>
      <c r="CN216" s="90"/>
      <c r="CO216" s="90"/>
      <c r="CP216" s="90"/>
      <c r="CQ216" s="90"/>
      <c r="CR216" s="91"/>
      <c r="CS216" s="271" t="s">
        <v>206</v>
      </c>
      <c r="CT216" s="272"/>
      <c r="CU216" s="298">
        <v>45</v>
      </c>
      <c r="CV216" s="298"/>
      <c r="CW216" s="298"/>
      <c r="CX216" s="298"/>
      <c r="CY216" s="298"/>
      <c r="CZ216" s="299"/>
      <c r="DA216" s="274" t="s">
        <v>206</v>
      </c>
      <c r="DB216" s="275"/>
      <c r="DC216" s="275">
        <f t="shared" si="7"/>
        <v>270</v>
      </c>
      <c r="DD216" s="275"/>
      <c r="DE216" s="275"/>
      <c r="DF216" s="275"/>
      <c r="DG216" s="275"/>
      <c r="DH216" s="275"/>
      <c r="DI216" s="276"/>
      <c r="DJ216" s="262" t="s">
        <v>305</v>
      </c>
      <c r="DK216" s="90"/>
      <c r="DL216" s="90"/>
      <c r="DM216" s="90"/>
      <c r="DN216" s="90"/>
      <c r="DO216" s="90"/>
      <c r="DP216" s="90"/>
      <c r="DQ216" s="90"/>
      <c r="DR216" s="90"/>
      <c r="DS216" s="90"/>
      <c r="DT216" s="263"/>
    </row>
    <row r="217" spans="1:124">
      <c r="A217" s="346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90"/>
      <c r="N217" s="309" t="s">
        <v>616</v>
      </c>
      <c r="O217" s="90"/>
      <c r="P217" s="90"/>
      <c r="Q217" s="90"/>
      <c r="R217" s="90"/>
      <c r="S217" s="90"/>
      <c r="T217" s="90"/>
      <c r="U217" s="91"/>
      <c r="V217" s="305" t="s">
        <v>249</v>
      </c>
      <c r="W217" s="395"/>
      <c r="X217" s="395"/>
      <c r="Y217" s="395"/>
      <c r="Z217" s="395"/>
      <c r="AA217" s="396"/>
      <c r="AB217" s="291" t="s">
        <v>252</v>
      </c>
      <c r="AC217" s="295"/>
      <c r="AD217" s="295"/>
      <c r="AE217" s="295"/>
      <c r="AF217" s="296"/>
      <c r="AG217" s="262" t="s">
        <v>646</v>
      </c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1"/>
      <c r="AW217" s="262"/>
      <c r="AX217" s="90"/>
      <c r="AY217" s="90"/>
      <c r="AZ217" s="90"/>
      <c r="BA217" s="90"/>
      <c r="BB217" s="90"/>
      <c r="BC217" s="90"/>
      <c r="BD217" s="91"/>
      <c r="BE217" s="262" t="s">
        <v>663</v>
      </c>
      <c r="BF217" s="90"/>
      <c r="BG217" s="90"/>
      <c r="BH217" s="90"/>
      <c r="BI217" s="90"/>
      <c r="BJ217" s="90"/>
      <c r="BK217" s="90"/>
      <c r="BL217" s="91"/>
      <c r="BM217" s="262" t="s">
        <v>589</v>
      </c>
      <c r="BN217" s="90"/>
      <c r="BO217" s="90"/>
      <c r="BP217" s="90"/>
      <c r="BQ217" s="90"/>
      <c r="BR217" s="90"/>
      <c r="BS217" s="90"/>
      <c r="BT217" s="91"/>
      <c r="BU217" s="262"/>
      <c r="BV217" s="90"/>
      <c r="BW217" s="90"/>
      <c r="BX217" s="90"/>
      <c r="BY217" s="90"/>
      <c r="BZ217" s="90"/>
      <c r="CA217" s="90"/>
      <c r="CB217" s="91"/>
      <c r="CC217" s="262" t="s">
        <v>300</v>
      </c>
      <c r="CD217" s="90"/>
      <c r="CE217" s="90"/>
      <c r="CF217" s="90"/>
      <c r="CG217" s="90"/>
      <c r="CH217" s="90"/>
      <c r="CI217" s="90"/>
      <c r="CJ217" s="91"/>
      <c r="CK217" s="262"/>
      <c r="CL217" s="90"/>
      <c r="CM217" s="90"/>
      <c r="CN217" s="90"/>
      <c r="CO217" s="90"/>
      <c r="CP217" s="90"/>
      <c r="CQ217" s="90"/>
      <c r="CR217" s="91"/>
      <c r="CS217" s="271" t="s">
        <v>206</v>
      </c>
      <c r="CT217" s="272"/>
      <c r="CU217" s="298">
        <v>3</v>
      </c>
      <c r="CV217" s="298"/>
      <c r="CW217" s="298"/>
      <c r="CX217" s="298"/>
      <c r="CY217" s="298"/>
      <c r="CZ217" s="299"/>
      <c r="DA217" s="274" t="s">
        <v>206</v>
      </c>
      <c r="DB217" s="275"/>
      <c r="DC217" s="275">
        <f t="shared" si="7"/>
        <v>3</v>
      </c>
      <c r="DD217" s="275"/>
      <c r="DE217" s="275"/>
      <c r="DF217" s="275"/>
      <c r="DG217" s="275"/>
      <c r="DH217" s="275"/>
      <c r="DI217" s="276"/>
      <c r="DJ217" s="262" t="s">
        <v>305</v>
      </c>
      <c r="DK217" s="90"/>
      <c r="DL217" s="90"/>
      <c r="DM217" s="90"/>
      <c r="DN217" s="90"/>
      <c r="DO217" s="90"/>
      <c r="DP217" s="90"/>
      <c r="DQ217" s="90"/>
      <c r="DR217" s="90"/>
      <c r="DS217" s="90"/>
      <c r="DT217" s="263"/>
    </row>
    <row r="218" spans="1:124">
      <c r="A218" s="288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90"/>
      <c r="N218" s="309" t="s">
        <v>617</v>
      </c>
      <c r="O218" s="90"/>
      <c r="P218" s="90"/>
      <c r="Q218" s="90"/>
      <c r="R218" s="90"/>
      <c r="S218" s="90"/>
      <c r="T218" s="90"/>
      <c r="U218" s="91"/>
      <c r="V218" s="305" t="s">
        <v>249</v>
      </c>
      <c r="W218" s="395"/>
      <c r="X218" s="395"/>
      <c r="Y218" s="395"/>
      <c r="Z218" s="395"/>
      <c r="AA218" s="396"/>
      <c r="AB218" s="291" t="s">
        <v>252</v>
      </c>
      <c r="AC218" s="295"/>
      <c r="AD218" s="295"/>
      <c r="AE218" s="295"/>
      <c r="AF218" s="296"/>
      <c r="AG218" s="362" t="s">
        <v>647</v>
      </c>
      <c r="AH218" s="363"/>
      <c r="AI218" s="363"/>
      <c r="AJ218" s="363"/>
      <c r="AK218" s="363"/>
      <c r="AL218" s="363"/>
      <c r="AM218" s="363"/>
      <c r="AN218" s="363"/>
      <c r="AO218" s="363"/>
      <c r="AP218" s="363"/>
      <c r="AQ218" s="363"/>
      <c r="AR218" s="363"/>
      <c r="AS218" s="363"/>
      <c r="AT218" s="363"/>
      <c r="AU218" s="363"/>
      <c r="AV218" s="364"/>
      <c r="AW218" s="284"/>
      <c r="AX218" s="90"/>
      <c r="AY218" s="90"/>
      <c r="AZ218" s="90"/>
      <c r="BA218" s="90"/>
      <c r="BB218" s="90"/>
      <c r="BC218" s="90"/>
      <c r="BD218" s="91"/>
      <c r="BE218" s="284"/>
      <c r="BF218" s="90"/>
      <c r="BG218" s="90"/>
      <c r="BH218" s="90"/>
      <c r="BI218" s="90"/>
      <c r="BJ218" s="90"/>
      <c r="BK218" s="90"/>
      <c r="BL218" s="91"/>
      <c r="BM218" s="262" t="s">
        <v>589</v>
      </c>
      <c r="BN218" s="90"/>
      <c r="BO218" s="90"/>
      <c r="BP218" s="90"/>
      <c r="BQ218" s="90"/>
      <c r="BR218" s="90"/>
      <c r="BS218" s="90"/>
      <c r="BT218" s="91"/>
      <c r="BU218" s="262"/>
      <c r="BV218" s="90"/>
      <c r="BW218" s="90"/>
      <c r="BX218" s="90"/>
      <c r="BY218" s="90"/>
      <c r="BZ218" s="90"/>
      <c r="CA218" s="90"/>
      <c r="CB218" s="91"/>
      <c r="CC218" s="284"/>
      <c r="CD218" s="90"/>
      <c r="CE218" s="90"/>
      <c r="CF218" s="90"/>
      <c r="CG218" s="90"/>
      <c r="CH218" s="90"/>
      <c r="CI218" s="90"/>
      <c r="CJ218" s="91"/>
      <c r="CK218" s="284"/>
      <c r="CL218" s="90"/>
      <c r="CM218" s="90"/>
      <c r="CN218" s="90"/>
      <c r="CO218" s="90"/>
      <c r="CP218" s="90"/>
      <c r="CQ218" s="90"/>
      <c r="CR218" s="91"/>
      <c r="CS218" s="271" t="s">
        <v>206</v>
      </c>
      <c r="CT218" s="272"/>
      <c r="CU218" s="298">
        <v>1</v>
      </c>
      <c r="CV218" s="298"/>
      <c r="CW218" s="298"/>
      <c r="CX218" s="298"/>
      <c r="CY218" s="298"/>
      <c r="CZ218" s="299"/>
      <c r="DA218" s="274" t="s">
        <v>206</v>
      </c>
      <c r="DB218" s="275"/>
      <c r="DC218" s="275">
        <f t="shared" si="7"/>
        <v>1</v>
      </c>
      <c r="DD218" s="275"/>
      <c r="DE218" s="275"/>
      <c r="DF218" s="275"/>
      <c r="DG218" s="275"/>
      <c r="DH218" s="275"/>
      <c r="DI218" s="276"/>
      <c r="DJ218" s="262" t="s">
        <v>305</v>
      </c>
      <c r="DK218" s="90"/>
      <c r="DL218" s="90"/>
      <c r="DM218" s="90"/>
      <c r="DN218" s="90"/>
      <c r="DO218" s="90"/>
      <c r="DP218" s="90"/>
      <c r="DQ218" s="90"/>
      <c r="DR218" s="90"/>
      <c r="DS218" s="90"/>
      <c r="DT218" s="263"/>
    </row>
    <row r="219" spans="1:124">
      <c r="A219" s="288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90"/>
      <c r="N219" s="309" t="s">
        <v>618</v>
      </c>
      <c r="O219" s="90"/>
      <c r="P219" s="90"/>
      <c r="Q219" s="90"/>
      <c r="R219" s="90"/>
      <c r="S219" s="90"/>
      <c r="T219" s="90"/>
      <c r="U219" s="91"/>
      <c r="V219" s="305" t="s">
        <v>249</v>
      </c>
      <c r="W219" s="395"/>
      <c r="X219" s="395"/>
      <c r="Y219" s="395"/>
      <c r="Z219" s="395"/>
      <c r="AA219" s="396"/>
      <c r="AB219" s="291" t="s">
        <v>252</v>
      </c>
      <c r="AC219" s="295"/>
      <c r="AD219" s="295"/>
      <c r="AE219" s="295"/>
      <c r="AF219" s="296"/>
      <c r="AG219" s="262" t="s">
        <v>654</v>
      </c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1"/>
      <c r="AW219" s="286"/>
      <c r="AX219" s="286"/>
      <c r="AY219" s="286"/>
      <c r="AZ219" s="286"/>
      <c r="BA219" s="286"/>
      <c r="BB219" s="286"/>
      <c r="BC219" s="286"/>
      <c r="BD219" s="286"/>
      <c r="BE219" s="286"/>
      <c r="BF219" s="286"/>
      <c r="BG219" s="286"/>
      <c r="BH219" s="286"/>
      <c r="BI219" s="286"/>
      <c r="BJ219" s="286"/>
      <c r="BK219" s="286"/>
      <c r="BL219" s="286"/>
      <c r="BM219" s="285" t="s">
        <v>589</v>
      </c>
      <c r="BN219" s="286"/>
      <c r="BO219" s="286"/>
      <c r="BP219" s="286"/>
      <c r="BQ219" s="286"/>
      <c r="BR219" s="286"/>
      <c r="BS219" s="286"/>
      <c r="BT219" s="286"/>
      <c r="BU219" s="285"/>
      <c r="BV219" s="286"/>
      <c r="BW219" s="286"/>
      <c r="BX219" s="286"/>
      <c r="BY219" s="286"/>
      <c r="BZ219" s="286"/>
      <c r="CA219" s="286"/>
      <c r="CB219" s="286"/>
      <c r="CC219" s="286"/>
      <c r="CD219" s="286"/>
      <c r="CE219" s="286"/>
      <c r="CF219" s="286"/>
      <c r="CG219" s="286"/>
      <c r="CH219" s="286"/>
      <c r="CI219" s="286"/>
      <c r="CJ219" s="286"/>
      <c r="CK219" s="286"/>
      <c r="CL219" s="286"/>
      <c r="CM219" s="286"/>
      <c r="CN219" s="286"/>
      <c r="CO219" s="286"/>
      <c r="CP219" s="286"/>
      <c r="CQ219" s="286"/>
      <c r="CR219" s="286"/>
      <c r="CS219" s="271" t="s">
        <v>206</v>
      </c>
      <c r="CT219" s="272"/>
      <c r="CU219" s="298">
        <v>1</v>
      </c>
      <c r="CV219" s="298"/>
      <c r="CW219" s="298"/>
      <c r="CX219" s="298"/>
      <c r="CY219" s="298"/>
      <c r="CZ219" s="299"/>
      <c r="DA219" s="274" t="s">
        <v>206</v>
      </c>
      <c r="DB219" s="275"/>
      <c r="DC219" s="275">
        <f t="shared" si="7"/>
        <v>1</v>
      </c>
      <c r="DD219" s="275"/>
      <c r="DE219" s="275"/>
      <c r="DF219" s="275"/>
      <c r="DG219" s="275"/>
      <c r="DH219" s="275"/>
      <c r="DI219" s="276"/>
      <c r="DJ219" s="262" t="s">
        <v>305</v>
      </c>
      <c r="DK219" s="90"/>
      <c r="DL219" s="90"/>
      <c r="DM219" s="90"/>
      <c r="DN219" s="90"/>
      <c r="DO219" s="90"/>
      <c r="DP219" s="90"/>
      <c r="DQ219" s="90"/>
      <c r="DR219" s="90"/>
      <c r="DS219" s="90"/>
      <c r="DT219" s="263"/>
    </row>
    <row r="220" spans="1:124">
      <c r="A220" s="288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90"/>
      <c r="N220" s="262" t="s">
        <v>619</v>
      </c>
      <c r="O220" s="90"/>
      <c r="P220" s="90"/>
      <c r="Q220" s="90"/>
      <c r="R220" s="90"/>
      <c r="S220" s="90"/>
      <c r="T220" s="90"/>
      <c r="U220" s="91"/>
      <c r="V220" s="305" t="s">
        <v>249</v>
      </c>
      <c r="W220" s="395"/>
      <c r="X220" s="395"/>
      <c r="Y220" s="395"/>
      <c r="Z220" s="395"/>
      <c r="AA220" s="396"/>
      <c r="AB220" s="291" t="s">
        <v>217</v>
      </c>
      <c r="AC220" s="295"/>
      <c r="AD220" s="295"/>
      <c r="AE220" s="295"/>
      <c r="AF220" s="296"/>
      <c r="AG220" s="262" t="s">
        <v>648</v>
      </c>
      <c r="AH220" s="358"/>
      <c r="AI220" s="358"/>
      <c r="AJ220" s="358"/>
      <c r="AK220" s="358"/>
      <c r="AL220" s="358"/>
      <c r="AM220" s="358"/>
      <c r="AN220" s="358"/>
      <c r="AO220" s="358"/>
      <c r="AP220" s="358"/>
      <c r="AQ220" s="358"/>
      <c r="AR220" s="358"/>
      <c r="AS220" s="358"/>
      <c r="AT220" s="358"/>
      <c r="AU220" s="358"/>
      <c r="AV220" s="359"/>
      <c r="AW220" s="284"/>
      <c r="AX220" s="90"/>
      <c r="AY220" s="90"/>
      <c r="AZ220" s="90"/>
      <c r="BA220" s="90"/>
      <c r="BB220" s="90"/>
      <c r="BC220" s="90"/>
      <c r="BD220" s="91"/>
      <c r="BE220" s="284"/>
      <c r="BF220" s="90"/>
      <c r="BG220" s="90"/>
      <c r="BH220" s="90"/>
      <c r="BI220" s="90"/>
      <c r="BJ220" s="90"/>
      <c r="BK220" s="90"/>
      <c r="BL220" s="91"/>
      <c r="BM220" s="262"/>
      <c r="BN220" s="90"/>
      <c r="BO220" s="90"/>
      <c r="BP220" s="90"/>
      <c r="BQ220" s="90"/>
      <c r="BR220" s="90"/>
      <c r="BS220" s="90"/>
      <c r="BT220" s="91"/>
      <c r="BU220" s="262" t="s">
        <v>373</v>
      </c>
      <c r="BV220" s="90"/>
      <c r="BW220" s="90"/>
      <c r="BX220" s="90"/>
      <c r="BY220" s="90"/>
      <c r="BZ220" s="90"/>
      <c r="CA220" s="90"/>
      <c r="CB220" s="91"/>
      <c r="CC220" s="284"/>
      <c r="CD220" s="90"/>
      <c r="CE220" s="90"/>
      <c r="CF220" s="90"/>
      <c r="CG220" s="90"/>
      <c r="CH220" s="90"/>
      <c r="CI220" s="90"/>
      <c r="CJ220" s="91"/>
      <c r="CK220" s="284"/>
      <c r="CL220" s="90"/>
      <c r="CM220" s="90"/>
      <c r="CN220" s="90"/>
      <c r="CO220" s="90"/>
      <c r="CP220" s="90"/>
      <c r="CQ220" s="90"/>
      <c r="CR220" s="91"/>
      <c r="CS220" s="271" t="s">
        <v>206</v>
      </c>
      <c r="CT220" s="272"/>
      <c r="CU220" s="298">
        <v>17.5</v>
      </c>
      <c r="CV220" s="298"/>
      <c r="CW220" s="298"/>
      <c r="CX220" s="298"/>
      <c r="CY220" s="298"/>
      <c r="CZ220" s="299"/>
      <c r="DA220" s="274" t="s">
        <v>206</v>
      </c>
      <c r="DB220" s="275"/>
      <c r="DC220" s="275">
        <f t="shared" si="7"/>
        <v>35</v>
      </c>
      <c r="DD220" s="275"/>
      <c r="DE220" s="275"/>
      <c r="DF220" s="275"/>
      <c r="DG220" s="275"/>
      <c r="DH220" s="275"/>
      <c r="DI220" s="276"/>
      <c r="DJ220" s="262" t="s">
        <v>305</v>
      </c>
      <c r="DK220" s="90"/>
      <c r="DL220" s="90"/>
      <c r="DM220" s="90"/>
      <c r="DN220" s="90"/>
      <c r="DO220" s="90"/>
      <c r="DP220" s="90"/>
      <c r="DQ220" s="90"/>
      <c r="DR220" s="90"/>
      <c r="DS220" s="90"/>
      <c r="DT220" s="263"/>
    </row>
    <row r="221" spans="1:124">
      <c r="A221" s="304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62" t="s">
        <v>620</v>
      </c>
      <c r="O221" s="90"/>
      <c r="P221" s="90"/>
      <c r="Q221" s="90"/>
      <c r="R221" s="90"/>
      <c r="S221" s="90"/>
      <c r="T221" s="90"/>
      <c r="U221" s="91"/>
      <c r="V221" s="307" t="s">
        <v>497</v>
      </c>
      <c r="W221" s="102"/>
      <c r="X221" s="102"/>
      <c r="Y221" s="102"/>
      <c r="Z221" s="102"/>
      <c r="AA221" s="103"/>
      <c r="AB221" s="291" t="s">
        <v>252</v>
      </c>
      <c r="AC221" s="295"/>
      <c r="AD221" s="295"/>
      <c r="AE221" s="295"/>
      <c r="AF221" s="296"/>
      <c r="AG221" s="262" t="s">
        <v>649</v>
      </c>
      <c r="AH221" s="314"/>
      <c r="AI221" s="314"/>
      <c r="AJ221" s="314"/>
      <c r="AK221" s="314"/>
      <c r="AL221" s="314"/>
      <c r="AM221" s="314"/>
      <c r="AN221" s="314"/>
      <c r="AO221" s="314"/>
      <c r="AP221" s="314"/>
      <c r="AQ221" s="314"/>
      <c r="AR221" s="314"/>
      <c r="AS221" s="314"/>
      <c r="AT221" s="314"/>
      <c r="AU221" s="314"/>
      <c r="AV221" s="366"/>
      <c r="AW221" s="284"/>
      <c r="AX221" s="90"/>
      <c r="AY221" s="90"/>
      <c r="AZ221" s="90"/>
      <c r="BA221" s="90"/>
      <c r="BB221" s="90"/>
      <c r="BC221" s="90"/>
      <c r="BD221" s="91"/>
      <c r="BE221" s="284"/>
      <c r="BF221" s="90"/>
      <c r="BG221" s="90"/>
      <c r="BH221" s="90"/>
      <c r="BI221" s="90"/>
      <c r="BJ221" s="90"/>
      <c r="BK221" s="90"/>
      <c r="BL221" s="91"/>
      <c r="BM221" s="262" t="s">
        <v>219</v>
      </c>
      <c r="BN221" s="90"/>
      <c r="BO221" s="90"/>
      <c r="BP221" s="90"/>
      <c r="BQ221" s="90"/>
      <c r="BR221" s="90"/>
      <c r="BS221" s="90"/>
      <c r="BT221" s="91"/>
      <c r="BU221" s="262" t="s">
        <v>373</v>
      </c>
      <c r="BV221" s="90"/>
      <c r="BW221" s="90"/>
      <c r="BX221" s="90"/>
      <c r="BY221" s="90"/>
      <c r="BZ221" s="90"/>
      <c r="CA221" s="90"/>
      <c r="CB221" s="91"/>
      <c r="CC221" s="284"/>
      <c r="CD221" s="90"/>
      <c r="CE221" s="90"/>
      <c r="CF221" s="90"/>
      <c r="CG221" s="90"/>
      <c r="CH221" s="90"/>
      <c r="CI221" s="90"/>
      <c r="CJ221" s="91"/>
      <c r="CK221" s="284"/>
      <c r="CL221" s="90"/>
      <c r="CM221" s="90"/>
      <c r="CN221" s="90"/>
      <c r="CO221" s="90"/>
      <c r="CP221" s="90"/>
      <c r="CQ221" s="90"/>
      <c r="CR221" s="91"/>
      <c r="CS221" s="271" t="s">
        <v>206</v>
      </c>
      <c r="CT221" s="272"/>
      <c r="CU221" s="298">
        <v>35</v>
      </c>
      <c r="CV221" s="298"/>
      <c r="CW221" s="298"/>
      <c r="CX221" s="298"/>
      <c r="CY221" s="298"/>
      <c r="CZ221" s="299"/>
      <c r="DA221" s="274" t="s">
        <v>206</v>
      </c>
      <c r="DB221" s="275"/>
      <c r="DC221" s="275">
        <f t="shared" si="7"/>
        <v>35</v>
      </c>
      <c r="DD221" s="275"/>
      <c r="DE221" s="275"/>
      <c r="DF221" s="275"/>
      <c r="DG221" s="275"/>
      <c r="DH221" s="275"/>
      <c r="DI221" s="276"/>
      <c r="DJ221" s="262" t="s">
        <v>305</v>
      </c>
      <c r="DK221" s="90"/>
      <c r="DL221" s="90"/>
      <c r="DM221" s="90"/>
      <c r="DN221" s="90"/>
      <c r="DO221" s="90"/>
      <c r="DP221" s="90"/>
      <c r="DQ221" s="90"/>
      <c r="DR221" s="90"/>
      <c r="DS221" s="90"/>
      <c r="DT221" s="263"/>
    </row>
    <row r="222" spans="1:124">
      <c r="A222" s="304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85" t="s">
        <v>621</v>
      </c>
      <c r="O222" s="286"/>
      <c r="P222" s="286"/>
      <c r="Q222" s="286"/>
      <c r="R222" s="286"/>
      <c r="S222" s="286"/>
      <c r="T222" s="286"/>
      <c r="U222" s="286"/>
      <c r="V222" s="307" t="s">
        <v>497</v>
      </c>
      <c r="W222" s="102"/>
      <c r="X222" s="102"/>
      <c r="Y222" s="102"/>
      <c r="Z222" s="102"/>
      <c r="AA222" s="103"/>
      <c r="AB222" s="312" t="s">
        <v>637</v>
      </c>
      <c r="AC222" s="313"/>
      <c r="AD222" s="313"/>
      <c r="AE222" s="313"/>
      <c r="AF222" s="313"/>
      <c r="AG222" s="262" t="s">
        <v>646</v>
      </c>
      <c r="AH222" s="314"/>
      <c r="AI222" s="314"/>
      <c r="AJ222" s="314"/>
      <c r="AK222" s="314"/>
      <c r="AL222" s="314"/>
      <c r="AM222" s="314"/>
      <c r="AN222" s="314"/>
      <c r="AO222" s="314"/>
      <c r="AP222" s="314"/>
      <c r="AQ222" s="314"/>
      <c r="AR222" s="314"/>
      <c r="AS222" s="314"/>
      <c r="AT222" s="314"/>
      <c r="AU222" s="314"/>
      <c r="AV222" s="366"/>
      <c r="AW222" s="286"/>
      <c r="AX222" s="286"/>
      <c r="AY222" s="286"/>
      <c r="AZ222" s="286"/>
      <c r="BA222" s="286"/>
      <c r="BB222" s="286"/>
      <c r="BC222" s="286"/>
      <c r="BD222" s="286"/>
      <c r="BE222" s="286"/>
      <c r="BF222" s="286"/>
      <c r="BG222" s="286"/>
      <c r="BH222" s="286"/>
      <c r="BI222" s="286"/>
      <c r="BJ222" s="286"/>
      <c r="BK222" s="286"/>
      <c r="BL222" s="286"/>
      <c r="BM222" s="262" t="s">
        <v>589</v>
      </c>
      <c r="BN222" s="90"/>
      <c r="BO222" s="90"/>
      <c r="BP222" s="90"/>
      <c r="BQ222" s="90"/>
      <c r="BR222" s="90"/>
      <c r="BS222" s="90"/>
      <c r="BT222" s="91"/>
      <c r="BU222" s="262"/>
      <c r="BV222" s="90"/>
      <c r="BW222" s="90"/>
      <c r="BX222" s="90"/>
      <c r="BY222" s="90"/>
      <c r="BZ222" s="90"/>
      <c r="CA222" s="90"/>
      <c r="CB222" s="91"/>
      <c r="CC222" s="285" t="s">
        <v>300</v>
      </c>
      <c r="CD222" s="286"/>
      <c r="CE222" s="286"/>
      <c r="CF222" s="286"/>
      <c r="CG222" s="286"/>
      <c r="CH222" s="286"/>
      <c r="CI222" s="286"/>
      <c r="CJ222" s="286"/>
      <c r="CK222" s="286"/>
      <c r="CL222" s="286"/>
      <c r="CM222" s="286"/>
      <c r="CN222" s="286"/>
      <c r="CO222" s="286"/>
      <c r="CP222" s="286"/>
      <c r="CQ222" s="286"/>
      <c r="CR222" s="286"/>
      <c r="CS222" s="271" t="s">
        <v>206</v>
      </c>
      <c r="CT222" s="272"/>
      <c r="CU222" s="298">
        <v>45</v>
      </c>
      <c r="CV222" s="298"/>
      <c r="CW222" s="298"/>
      <c r="CX222" s="298"/>
      <c r="CY222" s="298"/>
      <c r="CZ222" s="299"/>
      <c r="DA222" s="274" t="s">
        <v>206</v>
      </c>
      <c r="DB222" s="275"/>
      <c r="DC222" s="275">
        <f t="shared" si="7"/>
        <v>180</v>
      </c>
      <c r="DD222" s="275"/>
      <c r="DE222" s="275"/>
      <c r="DF222" s="275"/>
      <c r="DG222" s="275"/>
      <c r="DH222" s="275"/>
      <c r="DI222" s="276"/>
      <c r="DJ222" s="262" t="s">
        <v>305</v>
      </c>
      <c r="DK222" s="90"/>
      <c r="DL222" s="90"/>
      <c r="DM222" s="90"/>
      <c r="DN222" s="90"/>
      <c r="DO222" s="90"/>
      <c r="DP222" s="90"/>
      <c r="DQ222" s="90"/>
      <c r="DR222" s="90"/>
      <c r="DS222" s="90"/>
      <c r="DT222" s="263"/>
    </row>
    <row r="223" spans="1:124">
      <c r="A223" s="304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85" t="s">
        <v>622</v>
      </c>
      <c r="O223" s="286"/>
      <c r="P223" s="286"/>
      <c r="Q223" s="286"/>
      <c r="R223" s="286"/>
      <c r="S223" s="286"/>
      <c r="T223" s="286"/>
      <c r="U223" s="286"/>
      <c r="V223" s="297">
        <v>34133</v>
      </c>
      <c r="W223" s="377"/>
      <c r="X223" s="377"/>
      <c r="Y223" s="377"/>
      <c r="Z223" s="377"/>
      <c r="AA223" s="378"/>
      <c r="AB223" s="312" t="s">
        <v>638</v>
      </c>
      <c r="AC223" s="313"/>
      <c r="AD223" s="313"/>
      <c r="AE223" s="313"/>
      <c r="AF223" s="313"/>
      <c r="AG223" s="285" t="s">
        <v>650</v>
      </c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  <c r="AV223" s="286"/>
      <c r="AW223" s="286"/>
      <c r="AX223" s="286"/>
      <c r="AY223" s="286"/>
      <c r="AZ223" s="286"/>
      <c r="BA223" s="286"/>
      <c r="BB223" s="286"/>
      <c r="BC223" s="286"/>
      <c r="BD223" s="286"/>
      <c r="BE223" s="286"/>
      <c r="BF223" s="286"/>
      <c r="BG223" s="286"/>
      <c r="BH223" s="286"/>
      <c r="BI223" s="286"/>
      <c r="BJ223" s="286"/>
      <c r="BK223" s="286"/>
      <c r="BL223" s="286"/>
      <c r="BM223" s="285" t="s">
        <v>664</v>
      </c>
      <c r="BN223" s="286"/>
      <c r="BO223" s="286"/>
      <c r="BP223" s="286"/>
      <c r="BQ223" s="286"/>
      <c r="BR223" s="286"/>
      <c r="BS223" s="286"/>
      <c r="BT223" s="286"/>
      <c r="BU223" s="262"/>
      <c r="BV223" s="90"/>
      <c r="BW223" s="90"/>
      <c r="BX223" s="90"/>
      <c r="BY223" s="90"/>
      <c r="BZ223" s="90"/>
      <c r="CA223" s="90"/>
      <c r="CB223" s="91"/>
      <c r="CC223" s="286"/>
      <c r="CD223" s="286"/>
      <c r="CE223" s="286"/>
      <c r="CF223" s="286"/>
      <c r="CG223" s="286"/>
      <c r="CH223" s="286"/>
      <c r="CI223" s="286"/>
      <c r="CJ223" s="286"/>
      <c r="CK223" s="286"/>
      <c r="CL223" s="286"/>
      <c r="CM223" s="286"/>
      <c r="CN223" s="286"/>
      <c r="CO223" s="286"/>
      <c r="CP223" s="286"/>
      <c r="CQ223" s="286"/>
      <c r="CR223" s="286"/>
      <c r="CS223" s="271" t="s">
        <v>206</v>
      </c>
      <c r="CT223" s="272"/>
      <c r="CU223" s="298">
        <v>20</v>
      </c>
      <c r="CV223" s="298"/>
      <c r="CW223" s="298"/>
      <c r="CX223" s="298"/>
      <c r="CY223" s="298"/>
      <c r="CZ223" s="299"/>
      <c r="DA223" s="274" t="s">
        <v>206</v>
      </c>
      <c r="DB223" s="275"/>
      <c r="DC223" s="275">
        <f t="shared" si="7"/>
        <v>160</v>
      </c>
      <c r="DD223" s="275"/>
      <c r="DE223" s="275"/>
      <c r="DF223" s="275"/>
      <c r="DG223" s="275"/>
      <c r="DH223" s="275"/>
      <c r="DI223" s="276"/>
      <c r="DJ223" s="262" t="s">
        <v>305</v>
      </c>
      <c r="DK223" s="90"/>
      <c r="DL223" s="90"/>
      <c r="DM223" s="90"/>
      <c r="DN223" s="90"/>
      <c r="DO223" s="90"/>
      <c r="DP223" s="90"/>
      <c r="DQ223" s="90"/>
      <c r="DR223" s="90"/>
      <c r="DS223" s="90"/>
      <c r="DT223" s="263"/>
    </row>
    <row r="224" spans="1:124">
      <c r="A224" s="288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90"/>
      <c r="N224" s="262" t="s">
        <v>623</v>
      </c>
      <c r="O224" s="90"/>
      <c r="P224" s="90"/>
      <c r="Q224" s="90"/>
      <c r="R224" s="90"/>
      <c r="S224" s="90"/>
      <c r="T224" s="90"/>
      <c r="U224" s="91"/>
      <c r="V224" s="297">
        <v>34133</v>
      </c>
      <c r="W224" s="102"/>
      <c r="X224" s="102"/>
      <c r="Y224" s="102"/>
      <c r="Z224" s="102"/>
      <c r="AA224" s="103"/>
      <c r="AB224" s="291" t="s">
        <v>252</v>
      </c>
      <c r="AC224" s="295"/>
      <c r="AD224" s="295"/>
      <c r="AE224" s="295"/>
      <c r="AF224" s="296"/>
      <c r="AG224" s="262" t="s">
        <v>655</v>
      </c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1"/>
      <c r="AW224" s="262"/>
      <c r="AX224" s="90"/>
      <c r="AY224" s="90"/>
      <c r="AZ224" s="90"/>
      <c r="BA224" s="90"/>
      <c r="BB224" s="90"/>
      <c r="BC224" s="90"/>
      <c r="BD224" s="91"/>
      <c r="BE224" s="284"/>
      <c r="BF224" s="90"/>
      <c r="BG224" s="90"/>
      <c r="BH224" s="90"/>
      <c r="BI224" s="90"/>
      <c r="BJ224" s="90"/>
      <c r="BK224" s="90"/>
      <c r="BL224" s="91"/>
      <c r="BM224" s="285" t="s">
        <v>589</v>
      </c>
      <c r="BN224" s="286"/>
      <c r="BO224" s="286"/>
      <c r="BP224" s="286"/>
      <c r="BQ224" s="286"/>
      <c r="BR224" s="286"/>
      <c r="BS224" s="286"/>
      <c r="BT224" s="286"/>
      <c r="BU224" s="262" t="s">
        <v>373</v>
      </c>
      <c r="BV224" s="90"/>
      <c r="BW224" s="90"/>
      <c r="BX224" s="90"/>
      <c r="BY224" s="90"/>
      <c r="BZ224" s="90"/>
      <c r="CA224" s="90"/>
      <c r="CB224" s="91"/>
      <c r="CC224" s="284"/>
      <c r="CD224" s="90"/>
      <c r="CE224" s="90"/>
      <c r="CF224" s="90"/>
      <c r="CG224" s="90"/>
      <c r="CH224" s="90"/>
      <c r="CI224" s="90"/>
      <c r="CJ224" s="91"/>
      <c r="CK224" s="284"/>
      <c r="CL224" s="90"/>
      <c r="CM224" s="90"/>
      <c r="CN224" s="90"/>
      <c r="CO224" s="90"/>
      <c r="CP224" s="90"/>
      <c r="CQ224" s="90"/>
      <c r="CR224" s="91"/>
      <c r="CS224" s="271" t="s">
        <v>206</v>
      </c>
      <c r="CT224" s="272"/>
      <c r="CU224" s="298">
        <v>50</v>
      </c>
      <c r="CV224" s="298"/>
      <c r="CW224" s="298"/>
      <c r="CX224" s="298"/>
      <c r="CY224" s="298"/>
      <c r="CZ224" s="299"/>
      <c r="DA224" s="274" t="s">
        <v>206</v>
      </c>
      <c r="DB224" s="275"/>
      <c r="DC224" s="275">
        <f t="shared" si="7"/>
        <v>50</v>
      </c>
      <c r="DD224" s="275"/>
      <c r="DE224" s="275"/>
      <c r="DF224" s="275"/>
      <c r="DG224" s="275"/>
      <c r="DH224" s="275"/>
      <c r="DI224" s="276"/>
      <c r="DJ224" s="262" t="s">
        <v>305</v>
      </c>
      <c r="DK224" s="90"/>
      <c r="DL224" s="90"/>
      <c r="DM224" s="90"/>
      <c r="DN224" s="90"/>
      <c r="DO224" s="90"/>
      <c r="DP224" s="90"/>
      <c r="DQ224" s="90"/>
      <c r="DR224" s="90"/>
      <c r="DS224" s="90"/>
      <c r="DT224" s="263"/>
    </row>
    <row r="225" spans="1:124">
      <c r="A225" s="288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90"/>
      <c r="N225" s="262" t="s">
        <v>624</v>
      </c>
      <c r="O225" s="90"/>
      <c r="P225" s="90"/>
      <c r="Q225" s="90"/>
      <c r="R225" s="90"/>
      <c r="S225" s="90"/>
      <c r="T225" s="90"/>
      <c r="U225" s="91"/>
      <c r="V225" s="297">
        <v>34133</v>
      </c>
      <c r="W225" s="102"/>
      <c r="X225" s="102"/>
      <c r="Y225" s="102"/>
      <c r="Z225" s="102"/>
      <c r="AA225" s="103"/>
      <c r="AB225" s="291" t="s">
        <v>217</v>
      </c>
      <c r="AC225" s="295"/>
      <c r="AD225" s="295"/>
      <c r="AE225" s="295"/>
      <c r="AF225" s="296"/>
      <c r="AG225" s="262" t="s">
        <v>651</v>
      </c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1"/>
      <c r="AW225" s="284"/>
      <c r="AX225" s="90"/>
      <c r="AY225" s="90"/>
      <c r="AZ225" s="90"/>
      <c r="BA225" s="90"/>
      <c r="BB225" s="90"/>
      <c r="BC225" s="90"/>
      <c r="BD225" s="91"/>
      <c r="BE225" s="284"/>
      <c r="BF225" s="90"/>
      <c r="BG225" s="90"/>
      <c r="BH225" s="90"/>
      <c r="BI225" s="90"/>
      <c r="BJ225" s="90"/>
      <c r="BK225" s="90"/>
      <c r="BL225" s="91"/>
      <c r="BM225" s="262" t="s">
        <v>589</v>
      </c>
      <c r="BN225" s="90"/>
      <c r="BO225" s="90"/>
      <c r="BP225" s="90"/>
      <c r="BQ225" s="90"/>
      <c r="BR225" s="90"/>
      <c r="BS225" s="90"/>
      <c r="BT225" s="91"/>
      <c r="BU225" s="262"/>
      <c r="BV225" s="90"/>
      <c r="BW225" s="90"/>
      <c r="BX225" s="90"/>
      <c r="BY225" s="90"/>
      <c r="BZ225" s="90"/>
      <c r="CA225" s="90"/>
      <c r="CB225" s="91"/>
      <c r="CC225" s="262"/>
      <c r="CD225" s="90"/>
      <c r="CE225" s="90"/>
      <c r="CF225" s="90"/>
      <c r="CG225" s="90"/>
      <c r="CH225" s="90"/>
      <c r="CI225" s="90"/>
      <c r="CJ225" s="91"/>
      <c r="CK225" s="284"/>
      <c r="CL225" s="90"/>
      <c r="CM225" s="90"/>
      <c r="CN225" s="90"/>
      <c r="CO225" s="90"/>
      <c r="CP225" s="90"/>
      <c r="CQ225" s="90"/>
      <c r="CR225" s="91"/>
      <c r="CS225" s="271" t="s">
        <v>206</v>
      </c>
      <c r="CT225" s="272"/>
      <c r="CU225" s="298">
        <v>25</v>
      </c>
      <c r="CV225" s="298"/>
      <c r="CW225" s="298"/>
      <c r="CX225" s="298"/>
      <c r="CY225" s="298"/>
      <c r="CZ225" s="299"/>
      <c r="DA225" s="274" t="s">
        <v>206</v>
      </c>
      <c r="DB225" s="275"/>
      <c r="DC225" s="275">
        <f t="shared" si="7"/>
        <v>50</v>
      </c>
      <c r="DD225" s="275"/>
      <c r="DE225" s="275"/>
      <c r="DF225" s="275"/>
      <c r="DG225" s="275"/>
      <c r="DH225" s="275"/>
      <c r="DI225" s="276"/>
      <c r="DJ225" s="262" t="s">
        <v>305</v>
      </c>
      <c r="DK225" s="90"/>
      <c r="DL225" s="90"/>
      <c r="DM225" s="90"/>
      <c r="DN225" s="90"/>
      <c r="DO225" s="90"/>
      <c r="DP225" s="90"/>
      <c r="DQ225" s="90"/>
      <c r="DR225" s="90"/>
      <c r="DS225" s="90"/>
      <c r="DT225" s="263"/>
    </row>
    <row r="226" spans="1:124">
      <c r="A226" s="304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85" t="s">
        <v>625</v>
      </c>
      <c r="O226" s="286"/>
      <c r="P226" s="286"/>
      <c r="Q226" s="286"/>
      <c r="R226" s="286"/>
      <c r="S226" s="286"/>
      <c r="T226" s="286"/>
      <c r="U226" s="286"/>
      <c r="V226" s="297">
        <v>34133</v>
      </c>
      <c r="W226" s="102"/>
      <c r="X226" s="102"/>
      <c r="Y226" s="102"/>
      <c r="Z226" s="102"/>
      <c r="AA226" s="103"/>
      <c r="AB226" s="312" t="s">
        <v>217</v>
      </c>
      <c r="AC226" s="313"/>
      <c r="AD226" s="313"/>
      <c r="AE226" s="313"/>
      <c r="AF226" s="313"/>
      <c r="AG226" s="262" t="s">
        <v>656</v>
      </c>
      <c r="AH226" s="314"/>
      <c r="AI226" s="314"/>
      <c r="AJ226" s="314"/>
      <c r="AK226" s="314"/>
      <c r="AL226" s="314"/>
      <c r="AM226" s="314"/>
      <c r="AN226" s="314"/>
      <c r="AO226" s="314"/>
      <c r="AP226" s="314"/>
      <c r="AQ226" s="314"/>
      <c r="AR226" s="314"/>
      <c r="AS226" s="314"/>
      <c r="AT226" s="314"/>
      <c r="AU226" s="314"/>
      <c r="AV226" s="366"/>
      <c r="AW226" s="286"/>
      <c r="AX226" s="286"/>
      <c r="AY226" s="286"/>
      <c r="AZ226" s="286"/>
      <c r="BA226" s="286"/>
      <c r="BB226" s="286"/>
      <c r="BC226" s="286"/>
      <c r="BD226" s="286"/>
      <c r="BE226" s="286"/>
      <c r="BF226" s="286"/>
      <c r="BG226" s="286"/>
      <c r="BH226" s="286"/>
      <c r="BI226" s="286"/>
      <c r="BJ226" s="286"/>
      <c r="BK226" s="286"/>
      <c r="BL226" s="286"/>
      <c r="BM226" s="262" t="s">
        <v>664</v>
      </c>
      <c r="BN226" s="90"/>
      <c r="BO226" s="90"/>
      <c r="BP226" s="90"/>
      <c r="BQ226" s="90"/>
      <c r="BR226" s="90"/>
      <c r="BS226" s="90"/>
      <c r="BT226" s="91"/>
      <c r="BU226" s="262"/>
      <c r="BV226" s="90"/>
      <c r="BW226" s="90"/>
      <c r="BX226" s="90"/>
      <c r="BY226" s="90"/>
      <c r="BZ226" s="90"/>
      <c r="CA226" s="90"/>
      <c r="CB226" s="91"/>
      <c r="CC226" s="286"/>
      <c r="CD226" s="286"/>
      <c r="CE226" s="286"/>
      <c r="CF226" s="286"/>
      <c r="CG226" s="286"/>
      <c r="CH226" s="286"/>
      <c r="CI226" s="286"/>
      <c r="CJ226" s="286"/>
      <c r="CK226" s="286"/>
      <c r="CL226" s="286"/>
      <c r="CM226" s="286"/>
      <c r="CN226" s="286"/>
      <c r="CO226" s="286"/>
      <c r="CP226" s="286"/>
      <c r="CQ226" s="286"/>
      <c r="CR226" s="286"/>
      <c r="CS226" s="271" t="s">
        <v>206</v>
      </c>
      <c r="CT226" s="272"/>
      <c r="CU226" s="298">
        <v>20</v>
      </c>
      <c r="CV226" s="298"/>
      <c r="CW226" s="298"/>
      <c r="CX226" s="298"/>
      <c r="CY226" s="298"/>
      <c r="CZ226" s="299"/>
      <c r="DA226" s="274" t="s">
        <v>206</v>
      </c>
      <c r="DB226" s="275"/>
      <c r="DC226" s="275">
        <f t="shared" si="7"/>
        <v>40</v>
      </c>
      <c r="DD226" s="275"/>
      <c r="DE226" s="275"/>
      <c r="DF226" s="275"/>
      <c r="DG226" s="275"/>
      <c r="DH226" s="275"/>
      <c r="DI226" s="276"/>
      <c r="DJ226" s="262" t="s">
        <v>305</v>
      </c>
      <c r="DK226" s="90"/>
      <c r="DL226" s="90"/>
      <c r="DM226" s="90"/>
      <c r="DN226" s="90"/>
      <c r="DO226" s="90"/>
      <c r="DP226" s="90"/>
      <c r="DQ226" s="90"/>
      <c r="DR226" s="90"/>
      <c r="DS226" s="90"/>
      <c r="DT226" s="263"/>
    </row>
    <row r="227" spans="1:124">
      <c r="A227" s="288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90"/>
      <c r="N227" s="260" t="s">
        <v>626</v>
      </c>
      <c r="O227" s="102"/>
      <c r="P227" s="102"/>
      <c r="Q227" s="102"/>
      <c r="R227" s="102"/>
      <c r="S227" s="102"/>
      <c r="T227" s="102"/>
      <c r="U227" s="103"/>
      <c r="V227" s="307" t="s">
        <v>635</v>
      </c>
      <c r="W227" s="102"/>
      <c r="X227" s="102"/>
      <c r="Y227" s="102"/>
      <c r="Z227" s="102"/>
      <c r="AA227" s="103"/>
      <c r="AB227" s="291" t="s">
        <v>252</v>
      </c>
      <c r="AC227" s="295"/>
      <c r="AD227" s="295"/>
      <c r="AE227" s="295"/>
      <c r="AF227" s="296"/>
      <c r="AG227" s="262" t="s">
        <v>657</v>
      </c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1"/>
      <c r="AW227" s="284"/>
      <c r="AX227" s="90"/>
      <c r="AY227" s="90"/>
      <c r="AZ227" s="90"/>
      <c r="BA227" s="90"/>
      <c r="BB227" s="90"/>
      <c r="BC227" s="90"/>
      <c r="BD227" s="91"/>
      <c r="BE227" s="284"/>
      <c r="BF227" s="90"/>
      <c r="BG227" s="90"/>
      <c r="BH227" s="90"/>
      <c r="BI227" s="90"/>
      <c r="BJ227" s="90"/>
      <c r="BK227" s="90"/>
      <c r="BL227" s="91"/>
      <c r="BM227" s="285" t="s">
        <v>589</v>
      </c>
      <c r="BN227" s="286"/>
      <c r="BO227" s="286"/>
      <c r="BP227" s="286"/>
      <c r="BQ227" s="286"/>
      <c r="BR227" s="286"/>
      <c r="BS227" s="286"/>
      <c r="BT227" s="286"/>
      <c r="BU227" s="262"/>
      <c r="BV227" s="90"/>
      <c r="BW227" s="90"/>
      <c r="BX227" s="90"/>
      <c r="BY227" s="90"/>
      <c r="BZ227" s="90"/>
      <c r="CA227" s="90"/>
      <c r="CB227" s="91"/>
      <c r="CC227" s="284"/>
      <c r="CD227" s="90"/>
      <c r="CE227" s="90"/>
      <c r="CF227" s="90"/>
      <c r="CG227" s="90"/>
      <c r="CH227" s="90"/>
      <c r="CI227" s="90"/>
      <c r="CJ227" s="91"/>
      <c r="CK227" s="284"/>
      <c r="CL227" s="90"/>
      <c r="CM227" s="90"/>
      <c r="CN227" s="90"/>
      <c r="CO227" s="90"/>
      <c r="CP227" s="90"/>
      <c r="CQ227" s="90"/>
      <c r="CR227" s="91"/>
      <c r="CS227" s="271" t="s">
        <v>206</v>
      </c>
      <c r="CT227" s="272"/>
      <c r="CU227" s="298">
        <v>2700</v>
      </c>
      <c r="CV227" s="298"/>
      <c r="CW227" s="298"/>
      <c r="CX227" s="298"/>
      <c r="CY227" s="298"/>
      <c r="CZ227" s="299"/>
      <c r="DA227" s="274" t="s">
        <v>206</v>
      </c>
      <c r="DB227" s="275"/>
      <c r="DC227" s="275">
        <f t="shared" si="7"/>
        <v>2700</v>
      </c>
      <c r="DD227" s="275"/>
      <c r="DE227" s="275"/>
      <c r="DF227" s="275"/>
      <c r="DG227" s="275"/>
      <c r="DH227" s="275"/>
      <c r="DI227" s="276"/>
      <c r="DJ227" s="262" t="s">
        <v>305</v>
      </c>
      <c r="DK227" s="90"/>
      <c r="DL227" s="90"/>
      <c r="DM227" s="90"/>
      <c r="DN227" s="90"/>
      <c r="DO227" s="90"/>
      <c r="DP227" s="90"/>
      <c r="DQ227" s="90"/>
      <c r="DR227" s="90"/>
      <c r="DS227" s="90"/>
      <c r="DT227" s="263"/>
    </row>
    <row r="228" spans="1:124">
      <c r="A228" s="288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90"/>
      <c r="N228" s="262" t="s">
        <v>627</v>
      </c>
      <c r="O228" s="90"/>
      <c r="P228" s="90"/>
      <c r="Q228" s="90"/>
      <c r="R228" s="90"/>
      <c r="S228" s="90"/>
      <c r="T228" s="90"/>
      <c r="U228" s="91"/>
      <c r="V228" s="297">
        <v>35484</v>
      </c>
      <c r="W228" s="102"/>
      <c r="X228" s="102"/>
      <c r="Y228" s="102"/>
      <c r="Z228" s="102"/>
      <c r="AA228" s="103"/>
      <c r="AB228" s="291" t="s">
        <v>252</v>
      </c>
      <c r="AC228" s="295"/>
      <c r="AD228" s="295"/>
      <c r="AE228" s="295"/>
      <c r="AF228" s="296"/>
      <c r="AG228" s="262" t="s">
        <v>658</v>
      </c>
      <c r="AH228" s="314"/>
      <c r="AI228" s="314"/>
      <c r="AJ228" s="314"/>
      <c r="AK228" s="314"/>
      <c r="AL228" s="314"/>
      <c r="AM228" s="314"/>
      <c r="AN228" s="314"/>
      <c r="AO228" s="314"/>
      <c r="AP228" s="314"/>
      <c r="AQ228" s="314"/>
      <c r="AR228" s="314"/>
      <c r="AS228" s="314"/>
      <c r="AT228" s="314"/>
      <c r="AU228" s="314"/>
      <c r="AV228" s="366"/>
      <c r="AW228" s="262"/>
      <c r="AX228" s="90"/>
      <c r="AY228" s="90"/>
      <c r="AZ228" s="90"/>
      <c r="BA228" s="90"/>
      <c r="BB228" s="90"/>
      <c r="BC228" s="90"/>
      <c r="BD228" s="91"/>
      <c r="BE228" s="262"/>
      <c r="BF228" s="90"/>
      <c r="BG228" s="90"/>
      <c r="BH228" s="90"/>
      <c r="BI228" s="90"/>
      <c r="BJ228" s="90"/>
      <c r="BK228" s="90"/>
      <c r="BL228" s="91"/>
      <c r="BM228" s="262" t="s">
        <v>589</v>
      </c>
      <c r="BN228" s="90"/>
      <c r="BO228" s="90"/>
      <c r="BP228" s="90"/>
      <c r="BQ228" s="90"/>
      <c r="BR228" s="90"/>
      <c r="BS228" s="90"/>
      <c r="BT228" s="91"/>
      <c r="BU228" s="262" t="s">
        <v>664</v>
      </c>
      <c r="BV228" s="90"/>
      <c r="BW228" s="90"/>
      <c r="BX228" s="90"/>
      <c r="BY228" s="90"/>
      <c r="BZ228" s="90"/>
      <c r="CA228" s="90"/>
      <c r="CB228" s="91"/>
      <c r="CC228" s="262" t="s">
        <v>666</v>
      </c>
      <c r="CD228" s="90"/>
      <c r="CE228" s="90"/>
      <c r="CF228" s="90"/>
      <c r="CG228" s="90"/>
      <c r="CH228" s="90"/>
      <c r="CI228" s="90"/>
      <c r="CJ228" s="91"/>
      <c r="CK228" s="262"/>
      <c r="CL228" s="90"/>
      <c r="CM228" s="90"/>
      <c r="CN228" s="90"/>
      <c r="CO228" s="90"/>
      <c r="CP228" s="90"/>
      <c r="CQ228" s="90"/>
      <c r="CR228" s="91"/>
      <c r="CS228" s="271" t="s">
        <v>206</v>
      </c>
      <c r="CT228" s="272"/>
      <c r="CU228" s="298">
        <v>6736</v>
      </c>
      <c r="CV228" s="298"/>
      <c r="CW228" s="298"/>
      <c r="CX228" s="298"/>
      <c r="CY228" s="298"/>
      <c r="CZ228" s="299"/>
      <c r="DA228" s="274" t="s">
        <v>206</v>
      </c>
      <c r="DB228" s="275"/>
      <c r="DC228" s="275">
        <f t="shared" si="7"/>
        <v>6736</v>
      </c>
      <c r="DD228" s="275"/>
      <c r="DE228" s="275"/>
      <c r="DF228" s="275"/>
      <c r="DG228" s="275"/>
      <c r="DH228" s="275"/>
      <c r="DI228" s="276"/>
      <c r="DJ228" s="262" t="s">
        <v>305</v>
      </c>
      <c r="DK228" s="90"/>
      <c r="DL228" s="90"/>
      <c r="DM228" s="90"/>
      <c r="DN228" s="90"/>
      <c r="DO228" s="90"/>
      <c r="DP228" s="90"/>
      <c r="DQ228" s="90"/>
      <c r="DR228" s="90"/>
      <c r="DS228" s="90"/>
      <c r="DT228" s="263"/>
    </row>
    <row r="229" spans="1:124">
      <c r="A229" s="288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90"/>
      <c r="N229" s="262" t="s">
        <v>628</v>
      </c>
      <c r="O229" s="90"/>
      <c r="P229" s="90"/>
      <c r="Q229" s="90"/>
      <c r="R229" s="90"/>
      <c r="S229" s="90"/>
      <c r="T229" s="90"/>
      <c r="U229" s="91"/>
      <c r="V229" s="297">
        <v>37987</v>
      </c>
      <c r="W229" s="102"/>
      <c r="X229" s="102"/>
      <c r="Y229" s="102"/>
      <c r="Z229" s="102"/>
      <c r="AA229" s="103"/>
      <c r="AB229" s="291" t="s">
        <v>252</v>
      </c>
      <c r="AC229" s="295"/>
      <c r="AD229" s="295"/>
      <c r="AE229" s="295"/>
      <c r="AF229" s="296"/>
      <c r="AG229" s="262" t="s">
        <v>652</v>
      </c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1"/>
      <c r="AW229" s="262"/>
      <c r="AX229" s="90"/>
      <c r="AY229" s="90"/>
      <c r="AZ229" s="90"/>
      <c r="BA229" s="90"/>
      <c r="BB229" s="90"/>
      <c r="BC229" s="90"/>
      <c r="BD229" s="91"/>
      <c r="BE229" s="262"/>
      <c r="BF229" s="90"/>
      <c r="BG229" s="90"/>
      <c r="BH229" s="90"/>
      <c r="BI229" s="90"/>
      <c r="BJ229" s="90"/>
      <c r="BK229" s="90"/>
      <c r="BL229" s="91"/>
      <c r="BM229" s="262" t="s">
        <v>589</v>
      </c>
      <c r="BN229" s="90"/>
      <c r="BO229" s="90"/>
      <c r="BP229" s="90"/>
      <c r="BQ229" s="90"/>
      <c r="BR229" s="90"/>
      <c r="BS229" s="90"/>
      <c r="BT229" s="91"/>
      <c r="BU229" s="262"/>
      <c r="BV229" s="90"/>
      <c r="BW229" s="90"/>
      <c r="BX229" s="90"/>
      <c r="BY229" s="90"/>
      <c r="BZ229" s="90"/>
      <c r="CA229" s="90"/>
      <c r="CB229" s="91"/>
      <c r="CC229" s="262" t="s">
        <v>524</v>
      </c>
      <c r="CD229" s="90"/>
      <c r="CE229" s="90"/>
      <c r="CF229" s="90"/>
      <c r="CG229" s="90"/>
      <c r="CH229" s="90"/>
      <c r="CI229" s="90"/>
      <c r="CJ229" s="91"/>
      <c r="CK229" s="262"/>
      <c r="CL229" s="90"/>
      <c r="CM229" s="90"/>
      <c r="CN229" s="90"/>
      <c r="CO229" s="90"/>
      <c r="CP229" s="90"/>
      <c r="CQ229" s="90"/>
      <c r="CR229" s="91"/>
      <c r="CS229" s="271" t="s">
        <v>206</v>
      </c>
      <c r="CT229" s="272"/>
      <c r="CU229" s="298">
        <v>9000</v>
      </c>
      <c r="CV229" s="298"/>
      <c r="CW229" s="298"/>
      <c r="CX229" s="298"/>
      <c r="CY229" s="298"/>
      <c r="CZ229" s="299"/>
      <c r="DA229" s="274" t="s">
        <v>206</v>
      </c>
      <c r="DB229" s="275"/>
      <c r="DC229" s="275">
        <f t="shared" si="7"/>
        <v>9000</v>
      </c>
      <c r="DD229" s="275"/>
      <c r="DE229" s="275"/>
      <c r="DF229" s="275"/>
      <c r="DG229" s="275"/>
      <c r="DH229" s="275"/>
      <c r="DI229" s="276"/>
      <c r="DJ229" s="262" t="s">
        <v>305</v>
      </c>
      <c r="DK229" s="90"/>
      <c r="DL229" s="90"/>
      <c r="DM229" s="90"/>
      <c r="DN229" s="90"/>
      <c r="DO229" s="90"/>
      <c r="DP229" s="90"/>
      <c r="DQ229" s="90"/>
      <c r="DR229" s="90"/>
      <c r="DS229" s="90"/>
      <c r="DT229" s="263"/>
    </row>
    <row r="230" spans="1:124">
      <c r="A230" s="304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62" t="s">
        <v>629</v>
      </c>
      <c r="O230" s="314"/>
      <c r="P230" s="314"/>
      <c r="Q230" s="314"/>
      <c r="R230" s="314"/>
      <c r="S230" s="314"/>
      <c r="T230" s="314"/>
      <c r="U230" s="366"/>
      <c r="V230" s="297">
        <v>45292</v>
      </c>
      <c r="W230" s="102"/>
      <c r="X230" s="102"/>
      <c r="Y230" s="102"/>
      <c r="Z230" s="102"/>
      <c r="AA230" s="103"/>
      <c r="AB230" s="312" t="s">
        <v>252</v>
      </c>
      <c r="AC230" s="313"/>
      <c r="AD230" s="313"/>
      <c r="AE230" s="313"/>
      <c r="AF230" s="313"/>
      <c r="AG230" s="379" t="s">
        <v>653</v>
      </c>
      <c r="AH230" s="286"/>
      <c r="AI230" s="286"/>
      <c r="AJ230" s="286"/>
      <c r="AK230" s="286"/>
      <c r="AL230" s="286"/>
      <c r="AM230" s="286"/>
      <c r="AN230" s="286"/>
      <c r="AO230" s="286"/>
      <c r="AP230" s="286"/>
      <c r="AQ230" s="286"/>
      <c r="AR230" s="286"/>
      <c r="AS230" s="286"/>
      <c r="AT230" s="286"/>
      <c r="AU230" s="286"/>
      <c r="AV230" s="286"/>
      <c r="AW230" s="285"/>
      <c r="AX230" s="286"/>
      <c r="AY230" s="286"/>
      <c r="AZ230" s="286"/>
      <c r="BA230" s="286"/>
      <c r="BB230" s="286"/>
      <c r="BC230" s="286"/>
      <c r="BD230" s="286"/>
      <c r="BE230" s="285"/>
      <c r="BF230" s="286"/>
      <c r="BG230" s="286"/>
      <c r="BH230" s="286"/>
      <c r="BI230" s="286"/>
      <c r="BJ230" s="286"/>
      <c r="BK230" s="286"/>
      <c r="BL230" s="286"/>
      <c r="BM230" s="262" t="s">
        <v>589</v>
      </c>
      <c r="BN230" s="90"/>
      <c r="BO230" s="90"/>
      <c r="BP230" s="90"/>
      <c r="BQ230" s="90"/>
      <c r="BR230" s="90"/>
      <c r="BS230" s="90"/>
      <c r="BT230" s="91"/>
      <c r="BU230" s="262"/>
      <c r="BV230" s="90"/>
      <c r="BW230" s="90"/>
      <c r="BX230" s="90"/>
      <c r="BY230" s="90"/>
      <c r="BZ230" s="90"/>
      <c r="CA230" s="90"/>
      <c r="CB230" s="91"/>
      <c r="CC230" s="285" t="s">
        <v>300</v>
      </c>
      <c r="CD230" s="286"/>
      <c r="CE230" s="286"/>
      <c r="CF230" s="286"/>
      <c r="CG230" s="286"/>
      <c r="CH230" s="286"/>
      <c r="CI230" s="286"/>
      <c r="CJ230" s="286"/>
      <c r="CK230" s="262"/>
      <c r="CL230" s="90"/>
      <c r="CM230" s="90"/>
      <c r="CN230" s="90"/>
      <c r="CO230" s="90"/>
      <c r="CP230" s="90"/>
      <c r="CQ230" s="90"/>
      <c r="CR230" s="91"/>
      <c r="CS230" s="271" t="s">
        <v>206</v>
      </c>
      <c r="CT230" s="272"/>
      <c r="CU230" s="298">
        <v>2500</v>
      </c>
      <c r="CV230" s="298"/>
      <c r="CW230" s="298"/>
      <c r="CX230" s="298"/>
      <c r="CY230" s="298"/>
      <c r="CZ230" s="299"/>
      <c r="DA230" s="274" t="s">
        <v>206</v>
      </c>
      <c r="DB230" s="275"/>
      <c r="DC230" s="275">
        <f t="shared" si="7"/>
        <v>2500</v>
      </c>
      <c r="DD230" s="275"/>
      <c r="DE230" s="275"/>
      <c r="DF230" s="275"/>
      <c r="DG230" s="275"/>
      <c r="DH230" s="275"/>
      <c r="DI230" s="276"/>
      <c r="DJ230" s="285" t="s">
        <v>305</v>
      </c>
      <c r="DK230" s="286"/>
      <c r="DL230" s="286"/>
      <c r="DM230" s="286"/>
      <c r="DN230" s="286"/>
      <c r="DO230" s="286"/>
      <c r="DP230" s="286"/>
      <c r="DQ230" s="286"/>
      <c r="DR230" s="286"/>
      <c r="DS230" s="286"/>
      <c r="DT230" s="287"/>
    </row>
    <row r="231" spans="1:124">
      <c r="A231" s="304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62" t="s">
        <v>630</v>
      </c>
      <c r="O231" s="314"/>
      <c r="P231" s="314"/>
      <c r="Q231" s="314"/>
      <c r="R231" s="314"/>
      <c r="S231" s="314"/>
      <c r="T231" s="314"/>
      <c r="U231" s="366"/>
      <c r="V231" s="297">
        <v>38322</v>
      </c>
      <c r="W231" s="102"/>
      <c r="X231" s="102"/>
      <c r="Y231" s="102"/>
      <c r="Z231" s="102"/>
      <c r="AA231" s="103"/>
      <c r="AB231" s="312" t="s">
        <v>252</v>
      </c>
      <c r="AC231" s="313"/>
      <c r="AD231" s="313"/>
      <c r="AE231" s="313"/>
      <c r="AF231" s="313"/>
      <c r="AG231" s="285" t="s">
        <v>659</v>
      </c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  <c r="AV231" s="286"/>
      <c r="AW231" s="286"/>
      <c r="AX231" s="286"/>
      <c r="AY231" s="286"/>
      <c r="AZ231" s="286"/>
      <c r="BA231" s="286"/>
      <c r="BB231" s="286"/>
      <c r="BC231" s="286"/>
      <c r="BD231" s="286"/>
      <c r="BE231" s="286"/>
      <c r="BF231" s="286"/>
      <c r="BG231" s="286"/>
      <c r="BH231" s="286"/>
      <c r="BI231" s="286"/>
      <c r="BJ231" s="286"/>
      <c r="BK231" s="286"/>
      <c r="BL231" s="286"/>
      <c r="BM231" s="285" t="s">
        <v>219</v>
      </c>
      <c r="BN231" s="286"/>
      <c r="BO231" s="286"/>
      <c r="BP231" s="286"/>
      <c r="BQ231" s="286"/>
      <c r="BR231" s="286"/>
      <c r="BS231" s="286"/>
      <c r="BT231" s="286"/>
      <c r="BU231" s="262" t="s">
        <v>292</v>
      </c>
      <c r="BV231" s="90"/>
      <c r="BW231" s="90"/>
      <c r="BX231" s="90"/>
      <c r="BY231" s="90"/>
      <c r="BZ231" s="90"/>
      <c r="CA231" s="90"/>
      <c r="CB231" s="91"/>
      <c r="CC231" s="285" t="s">
        <v>667</v>
      </c>
      <c r="CD231" s="286"/>
      <c r="CE231" s="286"/>
      <c r="CF231" s="286"/>
      <c r="CG231" s="286"/>
      <c r="CH231" s="286"/>
      <c r="CI231" s="286"/>
      <c r="CJ231" s="286"/>
      <c r="CK231" s="286"/>
      <c r="CL231" s="286"/>
      <c r="CM231" s="286"/>
      <c r="CN231" s="286"/>
      <c r="CO231" s="286"/>
      <c r="CP231" s="286"/>
      <c r="CQ231" s="286"/>
      <c r="CR231" s="286"/>
      <c r="CS231" s="271" t="s">
        <v>206</v>
      </c>
      <c r="CT231" s="272"/>
      <c r="CU231" s="298">
        <v>2500</v>
      </c>
      <c r="CV231" s="298"/>
      <c r="CW231" s="298"/>
      <c r="CX231" s="298"/>
      <c r="CY231" s="298"/>
      <c r="CZ231" s="299"/>
      <c r="DA231" s="274" t="s">
        <v>206</v>
      </c>
      <c r="DB231" s="275"/>
      <c r="DC231" s="275">
        <f t="shared" si="7"/>
        <v>2500</v>
      </c>
      <c r="DD231" s="275"/>
      <c r="DE231" s="275"/>
      <c r="DF231" s="275"/>
      <c r="DG231" s="275"/>
      <c r="DH231" s="275"/>
      <c r="DI231" s="276"/>
      <c r="DJ231" s="285" t="s">
        <v>305</v>
      </c>
      <c r="DK231" s="286"/>
      <c r="DL231" s="286"/>
      <c r="DM231" s="286"/>
      <c r="DN231" s="286"/>
      <c r="DO231" s="286"/>
      <c r="DP231" s="286"/>
      <c r="DQ231" s="286"/>
      <c r="DR231" s="286"/>
      <c r="DS231" s="286"/>
      <c r="DT231" s="287"/>
    </row>
    <row r="232" spans="1:124">
      <c r="A232" s="304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85" t="s">
        <v>631</v>
      </c>
      <c r="O232" s="286"/>
      <c r="P232" s="286"/>
      <c r="Q232" s="286"/>
      <c r="R232" s="286"/>
      <c r="S232" s="286"/>
      <c r="T232" s="286"/>
      <c r="U232" s="286"/>
      <c r="V232" s="360">
        <v>39502</v>
      </c>
      <c r="W232" s="102"/>
      <c r="X232" s="102"/>
      <c r="Y232" s="102"/>
      <c r="Z232" s="102"/>
      <c r="AA232" s="103"/>
      <c r="AB232" s="312" t="s">
        <v>639</v>
      </c>
      <c r="AC232" s="313"/>
      <c r="AD232" s="313"/>
      <c r="AE232" s="313"/>
      <c r="AF232" s="313"/>
      <c r="AG232" s="285" t="s">
        <v>646</v>
      </c>
      <c r="AH232" s="286"/>
      <c r="AI232" s="286"/>
      <c r="AJ232" s="286"/>
      <c r="AK232" s="286"/>
      <c r="AL232" s="286"/>
      <c r="AM232" s="286"/>
      <c r="AN232" s="286"/>
      <c r="AO232" s="286"/>
      <c r="AP232" s="286"/>
      <c r="AQ232" s="286"/>
      <c r="AR232" s="286"/>
      <c r="AS232" s="286"/>
      <c r="AT232" s="286"/>
      <c r="AU232" s="286"/>
      <c r="AV232" s="286"/>
      <c r="AW232" s="286"/>
      <c r="AX232" s="286"/>
      <c r="AY232" s="286"/>
      <c r="AZ232" s="286"/>
      <c r="BA232" s="286"/>
      <c r="BB232" s="286"/>
      <c r="BC232" s="286"/>
      <c r="BD232" s="286"/>
      <c r="BE232" s="286"/>
      <c r="BF232" s="286"/>
      <c r="BG232" s="286"/>
      <c r="BH232" s="286"/>
      <c r="BI232" s="286"/>
      <c r="BJ232" s="286"/>
      <c r="BK232" s="286"/>
      <c r="BL232" s="286"/>
      <c r="BM232" s="285" t="s">
        <v>589</v>
      </c>
      <c r="BN232" s="286"/>
      <c r="BO232" s="286"/>
      <c r="BP232" s="286"/>
      <c r="BQ232" s="286"/>
      <c r="BR232" s="286"/>
      <c r="BS232" s="286"/>
      <c r="BT232" s="286"/>
      <c r="BU232" s="285"/>
      <c r="BV232" s="286"/>
      <c r="BW232" s="286"/>
      <c r="BX232" s="286"/>
      <c r="BY232" s="286"/>
      <c r="BZ232" s="286"/>
      <c r="CA232" s="286"/>
      <c r="CB232" s="286"/>
      <c r="CC232" s="285" t="s">
        <v>668</v>
      </c>
      <c r="CD232" s="286"/>
      <c r="CE232" s="286"/>
      <c r="CF232" s="286"/>
      <c r="CG232" s="286"/>
      <c r="CH232" s="286"/>
      <c r="CI232" s="286"/>
      <c r="CJ232" s="286"/>
      <c r="CK232" s="286"/>
      <c r="CL232" s="286"/>
      <c r="CM232" s="286"/>
      <c r="CN232" s="286"/>
      <c r="CO232" s="286"/>
      <c r="CP232" s="286"/>
      <c r="CQ232" s="286"/>
      <c r="CR232" s="286"/>
      <c r="CS232" s="271" t="s">
        <v>206</v>
      </c>
      <c r="CT232" s="272"/>
      <c r="CU232" s="298">
        <v>260</v>
      </c>
      <c r="CV232" s="298"/>
      <c r="CW232" s="298"/>
      <c r="CX232" s="298"/>
      <c r="CY232" s="298"/>
      <c r="CZ232" s="299"/>
      <c r="DA232" s="274" t="s">
        <v>206</v>
      </c>
      <c r="DB232" s="275"/>
      <c r="DC232" s="275">
        <f t="shared" si="7"/>
        <v>5200</v>
      </c>
      <c r="DD232" s="275"/>
      <c r="DE232" s="275"/>
      <c r="DF232" s="275"/>
      <c r="DG232" s="275"/>
      <c r="DH232" s="275"/>
      <c r="DI232" s="276"/>
      <c r="DJ232" s="285" t="s">
        <v>305</v>
      </c>
      <c r="DK232" s="286"/>
      <c r="DL232" s="286"/>
      <c r="DM232" s="286"/>
      <c r="DN232" s="286"/>
      <c r="DO232" s="286"/>
      <c r="DP232" s="286"/>
      <c r="DQ232" s="286"/>
      <c r="DR232" s="286"/>
      <c r="DS232" s="286"/>
      <c r="DT232" s="287"/>
    </row>
    <row r="233" spans="1:124">
      <c r="A233" s="304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85" t="s">
        <v>632</v>
      </c>
      <c r="O233" s="286"/>
      <c r="P233" s="286"/>
      <c r="Q233" s="286"/>
      <c r="R233" s="286"/>
      <c r="S233" s="286"/>
      <c r="T233" s="286"/>
      <c r="U233" s="286"/>
      <c r="V233" s="297">
        <v>39733</v>
      </c>
      <c r="W233" s="102"/>
      <c r="X233" s="102"/>
      <c r="Y233" s="102"/>
      <c r="Z233" s="102"/>
      <c r="AA233" s="103"/>
      <c r="AB233" s="312" t="s">
        <v>217</v>
      </c>
      <c r="AC233" s="313"/>
      <c r="AD233" s="313"/>
      <c r="AE233" s="313"/>
      <c r="AF233" s="313"/>
      <c r="AG233" s="285" t="s">
        <v>660</v>
      </c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  <c r="AV233" s="286"/>
      <c r="AW233" s="285"/>
      <c r="AX233" s="286"/>
      <c r="AY233" s="286"/>
      <c r="AZ233" s="286"/>
      <c r="BA233" s="286"/>
      <c r="BB233" s="286"/>
      <c r="BC233" s="286"/>
      <c r="BD233" s="286"/>
      <c r="BE233" s="286"/>
      <c r="BF233" s="286"/>
      <c r="BG233" s="286"/>
      <c r="BH233" s="286"/>
      <c r="BI233" s="286"/>
      <c r="BJ233" s="286"/>
      <c r="BK233" s="286"/>
      <c r="BL233" s="286"/>
      <c r="BM233" s="285" t="s">
        <v>219</v>
      </c>
      <c r="BN233" s="286"/>
      <c r="BO233" s="286"/>
      <c r="BP233" s="286"/>
      <c r="BQ233" s="286"/>
      <c r="BR233" s="286"/>
      <c r="BS233" s="286"/>
      <c r="BT233" s="286"/>
      <c r="BU233" s="285" t="s">
        <v>220</v>
      </c>
      <c r="BV233" s="286"/>
      <c r="BW233" s="286"/>
      <c r="BX233" s="286"/>
      <c r="BY233" s="286"/>
      <c r="BZ233" s="286"/>
      <c r="CA233" s="286"/>
      <c r="CB233" s="286"/>
      <c r="CC233" s="286"/>
      <c r="CD233" s="286"/>
      <c r="CE233" s="286"/>
      <c r="CF233" s="286"/>
      <c r="CG233" s="286"/>
      <c r="CH233" s="286"/>
      <c r="CI233" s="286"/>
      <c r="CJ233" s="286"/>
      <c r="CK233" s="286"/>
      <c r="CL233" s="286"/>
      <c r="CM233" s="286"/>
      <c r="CN233" s="286"/>
      <c r="CO233" s="286"/>
      <c r="CP233" s="286"/>
      <c r="CQ233" s="286"/>
      <c r="CR233" s="286"/>
      <c r="CS233" s="271" t="s">
        <v>206</v>
      </c>
      <c r="CT233" s="272"/>
      <c r="CU233" s="298">
        <v>1350</v>
      </c>
      <c r="CV233" s="298"/>
      <c r="CW233" s="298"/>
      <c r="CX233" s="298"/>
      <c r="CY233" s="298"/>
      <c r="CZ233" s="299"/>
      <c r="DA233" s="274" t="s">
        <v>206</v>
      </c>
      <c r="DB233" s="275"/>
      <c r="DC233" s="275">
        <f t="shared" si="7"/>
        <v>2700</v>
      </c>
      <c r="DD233" s="275"/>
      <c r="DE233" s="275"/>
      <c r="DF233" s="275"/>
      <c r="DG233" s="275"/>
      <c r="DH233" s="275"/>
      <c r="DI233" s="276"/>
      <c r="DJ233" s="285" t="s">
        <v>305</v>
      </c>
      <c r="DK233" s="286"/>
      <c r="DL233" s="286"/>
      <c r="DM233" s="286"/>
      <c r="DN233" s="286"/>
      <c r="DO233" s="286"/>
      <c r="DP233" s="286"/>
      <c r="DQ233" s="286"/>
      <c r="DR233" s="286"/>
      <c r="DS233" s="286"/>
      <c r="DT233" s="287"/>
    </row>
    <row r="234" spans="1:124">
      <c r="A234" s="304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85" t="s">
        <v>633</v>
      </c>
      <c r="O234" s="286"/>
      <c r="P234" s="286"/>
      <c r="Q234" s="286"/>
      <c r="R234" s="286"/>
      <c r="S234" s="286"/>
      <c r="T234" s="286"/>
      <c r="U234" s="286"/>
      <c r="V234" s="297">
        <v>39733</v>
      </c>
      <c r="W234" s="102"/>
      <c r="X234" s="102"/>
      <c r="Y234" s="102"/>
      <c r="Z234" s="102"/>
      <c r="AA234" s="103"/>
      <c r="AB234" s="312" t="s">
        <v>503</v>
      </c>
      <c r="AC234" s="313"/>
      <c r="AD234" s="313"/>
      <c r="AE234" s="313"/>
      <c r="AF234" s="313"/>
      <c r="AG234" s="285" t="s">
        <v>651</v>
      </c>
      <c r="AH234" s="286"/>
      <c r="AI234" s="286"/>
      <c r="AJ234" s="286"/>
      <c r="AK234" s="286"/>
      <c r="AL234" s="286"/>
      <c r="AM234" s="286"/>
      <c r="AN234" s="286"/>
      <c r="AO234" s="286"/>
      <c r="AP234" s="286"/>
      <c r="AQ234" s="286"/>
      <c r="AR234" s="286"/>
      <c r="AS234" s="286"/>
      <c r="AT234" s="286"/>
      <c r="AU234" s="286"/>
      <c r="AV234" s="286"/>
      <c r="AW234" s="285"/>
      <c r="AX234" s="286"/>
      <c r="AY234" s="286"/>
      <c r="AZ234" s="286"/>
      <c r="BA234" s="286"/>
      <c r="BB234" s="286"/>
      <c r="BC234" s="286"/>
      <c r="BD234" s="286"/>
      <c r="BE234" s="285"/>
      <c r="BF234" s="286"/>
      <c r="BG234" s="286"/>
      <c r="BH234" s="286"/>
      <c r="BI234" s="286"/>
      <c r="BJ234" s="286"/>
      <c r="BK234" s="286"/>
      <c r="BL234" s="286"/>
      <c r="BM234" s="285" t="s">
        <v>589</v>
      </c>
      <c r="BN234" s="286"/>
      <c r="BO234" s="286"/>
      <c r="BP234" s="286"/>
      <c r="BQ234" s="286"/>
      <c r="BR234" s="286"/>
      <c r="BS234" s="286"/>
      <c r="BT234" s="286"/>
      <c r="BU234" s="285"/>
      <c r="BV234" s="286"/>
      <c r="BW234" s="286"/>
      <c r="BX234" s="286"/>
      <c r="BY234" s="286"/>
      <c r="BZ234" s="286"/>
      <c r="CA234" s="286"/>
      <c r="CB234" s="286"/>
      <c r="CC234" s="285" t="s">
        <v>669</v>
      </c>
      <c r="CD234" s="286"/>
      <c r="CE234" s="286"/>
      <c r="CF234" s="286"/>
      <c r="CG234" s="286"/>
      <c r="CH234" s="286"/>
      <c r="CI234" s="286"/>
      <c r="CJ234" s="286"/>
      <c r="CK234" s="286"/>
      <c r="CL234" s="286"/>
      <c r="CM234" s="286"/>
      <c r="CN234" s="286"/>
      <c r="CO234" s="286"/>
      <c r="CP234" s="286"/>
      <c r="CQ234" s="286"/>
      <c r="CR234" s="286"/>
      <c r="CS234" s="271" t="s">
        <v>206</v>
      </c>
      <c r="CT234" s="272"/>
      <c r="CU234" s="298">
        <v>30</v>
      </c>
      <c r="CV234" s="298"/>
      <c r="CW234" s="298"/>
      <c r="CX234" s="298"/>
      <c r="CY234" s="298"/>
      <c r="CZ234" s="299"/>
      <c r="DA234" s="274" t="s">
        <v>206</v>
      </c>
      <c r="DB234" s="275"/>
      <c r="DC234" s="275">
        <f t="shared" si="7"/>
        <v>450</v>
      </c>
      <c r="DD234" s="275"/>
      <c r="DE234" s="275"/>
      <c r="DF234" s="275"/>
      <c r="DG234" s="275"/>
      <c r="DH234" s="275"/>
      <c r="DI234" s="276"/>
      <c r="DJ234" s="285" t="s">
        <v>305</v>
      </c>
      <c r="DK234" s="286"/>
      <c r="DL234" s="286"/>
      <c r="DM234" s="286"/>
      <c r="DN234" s="286"/>
      <c r="DO234" s="286"/>
      <c r="DP234" s="286"/>
      <c r="DQ234" s="286"/>
      <c r="DR234" s="286"/>
      <c r="DS234" s="286"/>
      <c r="DT234" s="287"/>
    </row>
    <row r="235" spans="1:124" ht="15" thickBot="1">
      <c r="A235" s="331"/>
      <c r="B235" s="332"/>
      <c r="C235" s="332"/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21" t="s">
        <v>634</v>
      </c>
      <c r="O235" s="322"/>
      <c r="P235" s="322"/>
      <c r="Q235" s="322"/>
      <c r="R235" s="322"/>
      <c r="S235" s="322"/>
      <c r="T235" s="322"/>
      <c r="U235" s="322"/>
      <c r="V235" s="297">
        <v>40202</v>
      </c>
      <c r="W235" s="102"/>
      <c r="X235" s="102"/>
      <c r="Y235" s="102"/>
      <c r="Z235" s="102"/>
      <c r="AA235" s="103"/>
      <c r="AB235" s="312" t="s">
        <v>252</v>
      </c>
      <c r="AC235" s="313"/>
      <c r="AD235" s="313"/>
      <c r="AE235" s="313"/>
      <c r="AF235" s="313"/>
      <c r="AG235" s="321" t="s">
        <v>661</v>
      </c>
      <c r="AH235" s="322"/>
      <c r="AI235" s="322"/>
      <c r="AJ235" s="322"/>
      <c r="AK235" s="322"/>
      <c r="AL235" s="322"/>
      <c r="AM235" s="322"/>
      <c r="AN235" s="322"/>
      <c r="AO235" s="322"/>
      <c r="AP235" s="322"/>
      <c r="AQ235" s="322"/>
      <c r="AR235" s="322"/>
      <c r="AS235" s="322"/>
      <c r="AT235" s="322"/>
      <c r="AU235" s="322"/>
      <c r="AV235" s="322"/>
      <c r="AW235" s="322"/>
      <c r="AX235" s="322"/>
      <c r="AY235" s="322"/>
      <c r="AZ235" s="322"/>
      <c r="BA235" s="322"/>
      <c r="BB235" s="322"/>
      <c r="BC235" s="322"/>
      <c r="BD235" s="322"/>
      <c r="BE235" s="321"/>
      <c r="BF235" s="322"/>
      <c r="BG235" s="322"/>
      <c r="BH235" s="322"/>
      <c r="BI235" s="322"/>
      <c r="BJ235" s="322"/>
      <c r="BK235" s="322"/>
      <c r="BL235" s="322"/>
      <c r="BM235" s="321" t="s">
        <v>590</v>
      </c>
      <c r="BN235" s="322"/>
      <c r="BO235" s="322"/>
      <c r="BP235" s="322"/>
      <c r="BQ235" s="322"/>
      <c r="BR235" s="322"/>
      <c r="BS235" s="322"/>
      <c r="BT235" s="322"/>
      <c r="BU235" s="322"/>
      <c r="BV235" s="322"/>
      <c r="BW235" s="322"/>
      <c r="BX235" s="322"/>
      <c r="BY235" s="322"/>
      <c r="BZ235" s="322"/>
      <c r="CA235" s="322"/>
      <c r="CB235" s="322"/>
      <c r="CC235" s="321" t="s">
        <v>300</v>
      </c>
      <c r="CD235" s="322"/>
      <c r="CE235" s="322"/>
      <c r="CF235" s="322"/>
      <c r="CG235" s="322"/>
      <c r="CH235" s="322"/>
      <c r="CI235" s="322"/>
      <c r="CJ235" s="322"/>
      <c r="CK235" s="322"/>
      <c r="CL235" s="322"/>
      <c r="CM235" s="322"/>
      <c r="CN235" s="322"/>
      <c r="CO235" s="322"/>
      <c r="CP235" s="322"/>
      <c r="CQ235" s="322"/>
      <c r="CR235" s="322"/>
      <c r="CS235" s="271" t="s">
        <v>206</v>
      </c>
      <c r="CT235" s="272"/>
      <c r="CU235" s="298">
        <v>22000</v>
      </c>
      <c r="CV235" s="298"/>
      <c r="CW235" s="298"/>
      <c r="CX235" s="298"/>
      <c r="CY235" s="298"/>
      <c r="CZ235" s="299"/>
      <c r="DA235" s="274" t="s">
        <v>206</v>
      </c>
      <c r="DB235" s="275"/>
      <c r="DC235" s="275">
        <f t="shared" si="7"/>
        <v>22000</v>
      </c>
      <c r="DD235" s="275"/>
      <c r="DE235" s="275"/>
      <c r="DF235" s="275"/>
      <c r="DG235" s="275"/>
      <c r="DH235" s="275"/>
      <c r="DI235" s="276"/>
      <c r="DJ235" s="285" t="s">
        <v>305</v>
      </c>
      <c r="DK235" s="286"/>
      <c r="DL235" s="286"/>
      <c r="DM235" s="286"/>
      <c r="DN235" s="286"/>
      <c r="DO235" s="286"/>
      <c r="DP235" s="286"/>
      <c r="DQ235" s="286"/>
      <c r="DR235" s="286"/>
      <c r="DS235" s="286"/>
      <c r="DT235" s="287"/>
    </row>
    <row r="236" spans="1:124" ht="21.6" thickBot="1">
      <c r="A236" s="3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23" t="s">
        <v>82</v>
      </c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323"/>
      <c r="AB236" s="323"/>
      <c r="AC236" s="323"/>
      <c r="AD236" s="323"/>
      <c r="AE236" s="323"/>
      <c r="AF236" s="323"/>
      <c r="AG236" s="323"/>
      <c r="AH236" s="323"/>
      <c r="AI236" s="323"/>
      <c r="AJ236" s="323"/>
      <c r="AK236" s="323"/>
      <c r="AL236" s="323"/>
      <c r="AM236" s="323"/>
      <c r="AN236" s="323"/>
      <c r="AO236" s="323"/>
      <c r="AP236" s="323"/>
      <c r="AQ236" s="323"/>
      <c r="AR236" s="323"/>
      <c r="AS236" s="323"/>
      <c r="AT236" s="323"/>
      <c r="AU236" s="323"/>
      <c r="AV236" s="323"/>
      <c r="AW236" s="323"/>
      <c r="AX236" s="323"/>
      <c r="AY236" s="323"/>
      <c r="AZ236" s="323"/>
      <c r="BA236" s="323"/>
      <c r="BB236" s="323"/>
      <c r="BC236" s="323"/>
      <c r="BD236" s="323"/>
      <c r="BE236" s="323"/>
      <c r="BF236" s="323"/>
      <c r="BG236" s="323"/>
      <c r="BH236" s="323"/>
      <c r="BI236" s="323"/>
      <c r="BJ236" s="323"/>
      <c r="BK236" s="323"/>
      <c r="BL236" s="323"/>
      <c r="BM236" s="323"/>
      <c r="BN236" s="323"/>
      <c r="BO236" s="323"/>
      <c r="BP236" s="323"/>
      <c r="BQ236" s="323"/>
      <c r="BR236" s="323"/>
      <c r="BS236" s="323"/>
      <c r="BT236" s="323"/>
      <c r="BU236" s="323"/>
      <c r="BV236" s="323"/>
      <c r="BW236" s="323"/>
      <c r="BX236" s="323"/>
      <c r="BY236" s="323"/>
      <c r="BZ236" s="323"/>
      <c r="CA236" s="323"/>
      <c r="CB236" s="323"/>
      <c r="CC236" s="323"/>
      <c r="CD236" s="323"/>
      <c r="CE236" s="323"/>
      <c r="CF236" s="323"/>
      <c r="CG236" s="323"/>
      <c r="CH236" s="323"/>
      <c r="CI236" s="323"/>
      <c r="CJ236" s="323"/>
      <c r="CK236" s="323"/>
      <c r="CL236" s="323"/>
      <c r="CM236" s="323"/>
      <c r="CN236" s="323"/>
      <c r="CO236" s="323"/>
      <c r="CP236" s="323"/>
      <c r="CQ236" s="323"/>
      <c r="CR236" s="323"/>
      <c r="CS236" s="323"/>
      <c r="CT236" s="323"/>
      <c r="CU236" s="323"/>
      <c r="CV236" s="323"/>
      <c r="CW236" s="323"/>
      <c r="CX236" s="323"/>
      <c r="CY236" s="323"/>
      <c r="CZ236" s="14"/>
      <c r="DA236" s="327" t="s">
        <v>206</v>
      </c>
      <c r="DB236" s="328"/>
      <c r="DC236" s="329">
        <f>SUM(DA210:DI235)</f>
        <v>60478.5</v>
      </c>
      <c r="DD236" s="329"/>
      <c r="DE236" s="329"/>
      <c r="DF236" s="329"/>
      <c r="DG236" s="329"/>
      <c r="DH236" s="329"/>
      <c r="DI236" s="329"/>
      <c r="DJ236" s="329"/>
      <c r="DK236" s="329"/>
      <c r="DL236" s="329"/>
      <c r="DM236" s="329"/>
      <c r="DN236" s="329"/>
      <c r="DO236" s="329"/>
      <c r="DP236" s="329"/>
      <c r="DQ236" s="329"/>
      <c r="DR236" s="329"/>
      <c r="DS236" s="329"/>
      <c r="DT236" s="330"/>
    </row>
    <row r="237" spans="1:124" ht="20.39999999999999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324" t="s">
        <v>83</v>
      </c>
      <c r="DK237" s="324"/>
      <c r="DL237" s="324"/>
      <c r="DM237" s="324"/>
      <c r="DN237" s="324"/>
      <c r="DO237" s="324"/>
      <c r="DP237" s="325" t="s">
        <v>397</v>
      </c>
      <c r="DQ237" s="326"/>
      <c r="DR237" s="326"/>
      <c r="DS237" s="326"/>
      <c r="DT237" s="1"/>
    </row>
    <row r="242" spans="1:124" ht="16.8">
      <c r="A242" s="232" t="s">
        <v>61</v>
      </c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</row>
    <row r="243" spans="1:124" ht="21">
      <c r="A243" s="233" t="s">
        <v>4</v>
      </c>
      <c r="B243" s="234"/>
      <c r="C243" s="234"/>
      <c r="D243" s="234"/>
      <c r="E243" s="234"/>
      <c r="F243" s="2"/>
      <c r="G243" s="235" t="s">
        <v>197</v>
      </c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  <c r="AA243" s="235"/>
      <c r="AB243" s="235"/>
      <c r="AC243" s="235"/>
      <c r="AD243" s="235"/>
      <c r="AE243" s="236"/>
      <c r="AF243" s="233" t="s">
        <v>5</v>
      </c>
      <c r="AG243" s="234"/>
      <c r="AH243" s="234"/>
      <c r="AI243" s="234"/>
      <c r="AJ243" s="234"/>
      <c r="AK243" s="234"/>
      <c r="AL243" s="2"/>
      <c r="AM243" s="235" t="s">
        <v>6</v>
      </c>
      <c r="AN243" s="235"/>
      <c r="AO243" s="235"/>
      <c r="AP243" s="235"/>
      <c r="AQ243" s="235"/>
      <c r="AR243" s="235"/>
      <c r="AS243" s="235"/>
      <c r="AT243" s="235"/>
      <c r="AU243" s="235"/>
      <c r="AV243" s="235"/>
      <c r="AW243" s="235"/>
      <c r="AX243" s="235"/>
      <c r="AY243" s="235"/>
      <c r="AZ243" s="235"/>
      <c r="BA243" s="235"/>
      <c r="BB243" s="235"/>
      <c r="BC243" s="235"/>
      <c r="BD243" s="235"/>
      <c r="BE243" s="235"/>
      <c r="BF243" s="235"/>
      <c r="BG243" s="236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233" t="s">
        <v>8</v>
      </c>
      <c r="BV243" s="234"/>
      <c r="BW243" s="234"/>
      <c r="BX243" s="234"/>
      <c r="BY243" s="234"/>
      <c r="BZ243" s="2"/>
      <c r="CA243" s="237">
        <v>1009</v>
      </c>
      <c r="CB243" s="235"/>
      <c r="CC243" s="235"/>
      <c r="CD243" s="235"/>
      <c r="CE243" s="235"/>
      <c r="CF243" s="235"/>
      <c r="CG243" s="235"/>
      <c r="CH243" s="235"/>
      <c r="CI243" s="236"/>
      <c r="CJ243" s="233" t="s">
        <v>9</v>
      </c>
      <c r="CK243" s="234"/>
      <c r="CL243" s="234"/>
      <c r="CM243" s="234"/>
      <c r="CN243" s="234"/>
      <c r="CO243" s="2"/>
      <c r="CP243" s="237" t="s">
        <v>214</v>
      </c>
      <c r="CQ243" s="235"/>
      <c r="CR243" s="235"/>
      <c r="CS243" s="235"/>
      <c r="CT243" s="235"/>
      <c r="CU243" s="235"/>
      <c r="CV243" s="235"/>
      <c r="CW243" s="235"/>
      <c r="CX243" s="236"/>
      <c r="CY243" s="1"/>
      <c r="CZ243" s="1"/>
      <c r="DA243" s="1"/>
      <c r="DB243" s="1"/>
      <c r="DC243" s="1"/>
      <c r="DD243" s="1"/>
      <c r="DE243" s="1"/>
      <c r="DF243" s="1"/>
      <c r="DG243" s="233" t="s">
        <v>62</v>
      </c>
      <c r="DH243" s="234"/>
      <c r="DI243" s="234"/>
      <c r="DJ243" s="234"/>
      <c r="DK243" s="234"/>
      <c r="DL243" s="2"/>
      <c r="DM243" s="235">
        <v>2024</v>
      </c>
      <c r="DN243" s="235"/>
      <c r="DO243" s="235"/>
      <c r="DP243" s="235"/>
      <c r="DQ243" s="235"/>
      <c r="DR243" s="235"/>
      <c r="DS243" s="235"/>
      <c r="DT243" s="236"/>
    </row>
    <row r="244" spans="1:124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</row>
    <row r="245" spans="1:124" ht="20.399999999999999">
      <c r="A245" s="238" t="s">
        <v>63</v>
      </c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  <c r="AA245" s="239"/>
      <c r="AB245" s="239"/>
      <c r="AC245" s="239"/>
      <c r="AD245" s="239"/>
      <c r="AE245" s="239"/>
      <c r="AF245" s="239"/>
      <c r="AG245" s="239"/>
      <c r="AH245" s="239"/>
      <c r="AI245" s="239"/>
      <c r="AJ245" s="239"/>
      <c r="AK245" s="239"/>
      <c r="AL245" s="239"/>
      <c r="AM245" s="239"/>
      <c r="AN245" s="239"/>
      <c r="AO245" s="239"/>
      <c r="AP245" s="239"/>
      <c r="AQ245" s="239"/>
      <c r="AR245" s="239"/>
      <c r="AS245" s="239"/>
      <c r="AT245" s="239"/>
      <c r="AU245" s="239"/>
      <c r="AV245" s="239"/>
      <c r="AW245" s="239"/>
      <c r="AX245" s="239"/>
      <c r="AY245" s="239"/>
      <c r="AZ245" s="239"/>
      <c r="BA245" s="239"/>
      <c r="BB245" s="239"/>
      <c r="BC245" s="239"/>
      <c r="BD245" s="239"/>
      <c r="BE245" s="239"/>
      <c r="BF245" s="239"/>
      <c r="BG245" s="239"/>
      <c r="BH245" s="239"/>
      <c r="BI245" s="239"/>
      <c r="BJ245" s="239"/>
      <c r="BK245" s="239"/>
      <c r="BL245" s="239"/>
      <c r="BM245" s="239"/>
      <c r="BN245" s="239"/>
      <c r="BO245" s="239"/>
      <c r="BP245" s="239"/>
      <c r="BQ245" s="239"/>
      <c r="BR245" s="239"/>
      <c r="BS245" s="239"/>
      <c r="BT245" s="239"/>
      <c r="BU245" s="239"/>
      <c r="BV245" s="239"/>
      <c r="BW245" s="239"/>
      <c r="BX245" s="239"/>
      <c r="BY245" s="239"/>
      <c r="BZ245" s="239"/>
      <c r="CA245" s="239"/>
      <c r="CB245" s="239"/>
      <c r="CC245" s="239"/>
      <c r="CD245" s="239"/>
      <c r="CE245" s="239"/>
      <c r="CF245" s="239"/>
      <c r="CG245" s="239"/>
      <c r="CH245" s="239"/>
      <c r="CI245" s="239"/>
      <c r="CJ245" s="239"/>
      <c r="CK245" s="239"/>
      <c r="CL245" s="239"/>
      <c r="CM245" s="239"/>
      <c r="CN245" s="239"/>
      <c r="CO245" s="239"/>
      <c r="CP245" s="239"/>
      <c r="CQ245" s="239"/>
      <c r="CR245" s="239"/>
      <c r="CS245" s="239"/>
      <c r="CT245" s="239"/>
      <c r="CU245" s="239"/>
      <c r="CV245" s="239"/>
      <c r="CW245" s="239"/>
      <c r="CX245" s="239"/>
      <c r="CY245" s="239"/>
      <c r="CZ245" s="239"/>
      <c r="DA245" s="239"/>
      <c r="DB245" s="239"/>
      <c r="DC245" s="239"/>
      <c r="DD245" s="239"/>
      <c r="DE245" s="239"/>
      <c r="DF245" s="239"/>
      <c r="DG245" s="239"/>
      <c r="DH245" s="239"/>
      <c r="DI245" s="239"/>
      <c r="DJ245" s="239"/>
      <c r="DK245" s="239"/>
      <c r="DL245" s="239"/>
      <c r="DM245" s="239"/>
      <c r="DN245" s="239"/>
      <c r="DO245" s="239"/>
      <c r="DP245" s="239"/>
      <c r="DQ245" s="239"/>
      <c r="DR245" s="239"/>
      <c r="DS245" s="239"/>
      <c r="DT245" s="240"/>
    </row>
    <row r="246" spans="1:124" ht="15" thickBot="1">
      <c r="A246" s="241" t="s">
        <v>64</v>
      </c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  <c r="AM246" s="242"/>
      <c r="AN246" s="242"/>
      <c r="AO246" s="242"/>
      <c r="AP246" s="242"/>
      <c r="AQ246" s="242"/>
      <c r="AR246" s="242"/>
      <c r="AS246" s="242"/>
      <c r="AT246" s="242"/>
      <c r="AU246" s="242"/>
      <c r="AV246" s="242"/>
      <c r="AW246" s="242"/>
      <c r="AX246" s="242"/>
      <c r="AY246" s="242"/>
      <c r="AZ246" s="242"/>
      <c r="BA246" s="242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6"/>
    </row>
    <row r="247" spans="1:124" ht="15" thickBot="1"/>
    <row r="248" spans="1:124" ht="17.399999999999999">
      <c r="A248" s="243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4"/>
      <c r="M248" s="245"/>
      <c r="N248" s="246"/>
      <c r="O248" s="244"/>
      <c r="P248" s="244"/>
      <c r="Q248" s="244"/>
      <c r="R248" s="244"/>
      <c r="S248" s="244"/>
      <c r="T248" s="244"/>
      <c r="U248" s="245"/>
      <c r="V248" s="247" t="s">
        <v>65</v>
      </c>
      <c r="W248" s="248"/>
      <c r="X248" s="248"/>
      <c r="Y248" s="248"/>
      <c r="Z248" s="248"/>
      <c r="AA248" s="249"/>
      <c r="AB248" s="246"/>
      <c r="AC248" s="244"/>
      <c r="AD248" s="244"/>
      <c r="AE248" s="244"/>
      <c r="AF248" s="245"/>
      <c r="AG248" s="246"/>
      <c r="AH248" s="244"/>
      <c r="AI248" s="244"/>
      <c r="AJ248" s="244"/>
      <c r="AK248" s="244"/>
      <c r="AL248" s="244"/>
      <c r="AM248" s="244"/>
      <c r="AN248" s="244"/>
      <c r="AO248" s="244"/>
      <c r="AP248" s="244"/>
      <c r="AQ248" s="244"/>
      <c r="AR248" s="244"/>
      <c r="AS248" s="244"/>
      <c r="AT248" s="244"/>
      <c r="AU248" s="244"/>
      <c r="AV248" s="245"/>
      <c r="AW248" s="250" t="s">
        <v>66</v>
      </c>
      <c r="AX248" s="251"/>
      <c r="AY248" s="251"/>
      <c r="AZ248" s="251"/>
      <c r="BA248" s="251"/>
      <c r="BB248" s="251"/>
      <c r="BC248" s="251"/>
      <c r="BD248" s="251"/>
      <c r="BE248" s="251"/>
      <c r="BF248" s="251"/>
      <c r="BG248" s="251"/>
      <c r="BH248" s="251"/>
      <c r="BI248" s="251"/>
      <c r="BJ248" s="251"/>
      <c r="BK248" s="251"/>
      <c r="BL248" s="251"/>
      <c r="BM248" s="251"/>
      <c r="BN248" s="251"/>
      <c r="BO248" s="251"/>
      <c r="BP248" s="251"/>
      <c r="BQ248" s="251"/>
      <c r="BR248" s="251"/>
      <c r="BS248" s="251"/>
      <c r="BT248" s="251"/>
      <c r="BU248" s="251"/>
      <c r="BV248" s="251"/>
      <c r="BW248" s="251"/>
      <c r="BX248" s="251"/>
      <c r="BY248" s="251"/>
      <c r="BZ248" s="251"/>
      <c r="CA248" s="251"/>
      <c r="CB248" s="251"/>
      <c r="CC248" s="251"/>
      <c r="CD248" s="251"/>
      <c r="CE248" s="251"/>
      <c r="CF248" s="251"/>
      <c r="CG248" s="251"/>
      <c r="CH248" s="251"/>
      <c r="CI248" s="251"/>
      <c r="CJ248" s="251"/>
      <c r="CK248" s="251"/>
      <c r="CL248" s="251"/>
      <c r="CM248" s="251"/>
      <c r="CN248" s="251"/>
      <c r="CO248" s="251"/>
      <c r="CP248" s="251"/>
      <c r="CQ248" s="251"/>
      <c r="CR248" s="252"/>
      <c r="CS248" s="246"/>
      <c r="CT248" s="244"/>
      <c r="CU248" s="244"/>
      <c r="CV248" s="244"/>
      <c r="CW248" s="244"/>
      <c r="CX248" s="244"/>
      <c r="CY248" s="244"/>
      <c r="CZ248" s="245"/>
      <c r="DA248" s="246"/>
      <c r="DB248" s="244"/>
      <c r="DC248" s="244"/>
      <c r="DD248" s="244"/>
      <c r="DE248" s="244"/>
      <c r="DF248" s="244"/>
      <c r="DG248" s="244"/>
      <c r="DH248" s="244"/>
      <c r="DI248" s="245"/>
      <c r="DJ248" s="246"/>
      <c r="DK248" s="244"/>
      <c r="DL248" s="244"/>
      <c r="DM248" s="244"/>
      <c r="DN248" s="244"/>
      <c r="DO248" s="244"/>
      <c r="DP248" s="244"/>
      <c r="DQ248" s="244"/>
      <c r="DR248" s="244"/>
      <c r="DS248" s="244"/>
      <c r="DT248" s="253"/>
    </row>
    <row r="249" spans="1:124">
      <c r="A249" s="264" t="s">
        <v>67</v>
      </c>
      <c r="B249" s="257"/>
      <c r="C249" s="257"/>
      <c r="D249" s="257"/>
      <c r="E249" s="257"/>
      <c r="F249" s="257"/>
      <c r="G249" s="257"/>
      <c r="H249" s="257"/>
      <c r="I249" s="257"/>
      <c r="J249" s="257"/>
      <c r="K249" s="257"/>
      <c r="L249" s="257"/>
      <c r="M249" s="258"/>
      <c r="N249" s="256" t="s">
        <v>68</v>
      </c>
      <c r="O249" s="257"/>
      <c r="P249" s="257"/>
      <c r="Q249" s="257"/>
      <c r="R249" s="257"/>
      <c r="S249" s="257"/>
      <c r="T249" s="257"/>
      <c r="U249" s="258"/>
      <c r="V249" s="265" t="s">
        <v>69</v>
      </c>
      <c r="W249" s="266"/>
      <c r="X249" s="266"/>
      <c r="Y249" s="266"/>
      <c r="Z249" s="266"/>
      <c r="AA249" s="267"/>
      <c r="AB249" s="268" t="s">
        <v>70</v>
      </c>
      <c r="AC249" s="269"/>
      <c r="AD249" s="269"/>
      <c r="AE249" s="269"/>
      <c r="AF249" s="270"/>
      <c r="AG249" s="256" t="s">
        <v>71</v>
      </c>
      <c r="AH249" s="257"/>
      <c r="AI249" s="257"/>
      <c r="AJ249" s="257"/>
      <c r="AK249" s="257"/>
      <c r="AL249" s="257"/>
      <c r="AM249" s="257"/>
      <c r="AN249" s="257"/>
      <c r="AO249" s="257"/>
      <c r="AP249" s="257"/>
      <c r="AQ249" s="257"/>
      <c r="AR249" s="257"/>
      <c r="AS249" s="257"/>
      <c r="AT249" s="257"/>
      <c r="AU249" s="257"/>
      <c r="AV249" s="258"/>
      <c r="AW249" s="283" t="s">
        <v>72</v>
      </c>
      <c r="AX249" s="254"/>
      <c r="AY249" s="254"/>
      <c r="AZ249" s="254"/>
      <c r="BA249" s="254"/>
      <c r="BB249" s="254"/>
      <c r="BC249" s="254"/>
      <c r="BD249" s="254"/>
      <c r="BE249" s="254" t="s">
        <v>73</v>
      </c>
      <c r="BF249" s="254"/>
      <c r="BG249" s="254"/>
      <c r="BH249" s="254"/>
      <c r="BI249" s="254"/>
      <c r="BJ249" s="254"/>
      <c r="BK249" s="254"/>
      <c r="BL249" s="254"/>
      <c r="BM249" s="254" t="s">
        <v>74</v>
      </c>
      <c r="BN249" s="254"/>
      <c r="BO249" s="254"/>
      <c r="BP249" s="254"/>
      <c r="BQ249" s="254"/>
      <c r="BR249" s="254"/>
      <c r="BS249" s="254"/>
      <c r="BT249" s="254"/>
      <c r="BU249" s="254" t="s">
        <v>75</v>
      </c>
      <c r="BV249" s="254"/>
      <c r="BW249" s="254"/>
      <c r="BX249" s="254"/>
      <c r="BY249" s="254"/>
      <c r="BZ249" s="254"/>
      <c r="CA249" s="254"/>
      <c r="CB249" s="254"/>
      <c r="CC249" s="254" t="s">
        <v>76</v>
      </c>
      <c r="CD249" s="254"/>
      <c r="CE249" s="254"/>
      <c r="CF249" s="254"/>
      <c r="CG249" s="254"/>
      <c r="CH249" s="254"/>
      <c r="CI249" s="254"/>
      <c r="CJ249" s="254"/>
      <c r="CK249" s="254" t="s">
        <v>77</v>
      </c>
      <c r="CL249" s="254"/>
      <c r="CM249" s="254"/>
      <c r="CN249" s="254"/>
      <c r="CO249" s="254"/>
      <c r="CP249" s="254"/>
      <c r="CQ249" s="254"/>
      <c r="CR249" s="255"/>
      <c r="CS249" s="256" t="s">
        <v>78</v>
      </c>
      <c r="CT249" s="257"/>
      <c r="CU249" s="257"/>
      <c r="CV249" s="257"/>
      <c r="CW249" s="257"/>
      <c r="CX249" s="257"/>
      <c r="CY249" s="257"/>
      <c r="CZ249" s="258"/>
      <c r="DA249" s="256" t="s">
        <v>79</v>
      </c>
      <c r="DB249" s="257"/>
      <c r="DC249" s="257"/>
      <c r="DD249" s="257"/>
      <c r="DE249" s="257"/>
      <c r="DF249" s="257"/>
      <c r="DG249" s="257"/>
      <c r="DH249" s="257"/>
      <c r="DI249" s="258"/>
      <c r="DJ249" s="256" t="s">
        <v>80</v>
      </c>
      <c r="DK249" s="257"/>
      <c r="DL249" s="257"/>
      <c r="DM249" s="257"/>
      <c r="DN249" s="257"/>
      <c r="DO249" s="257"/>
      <c r="DP249" s="257"/>
      <c r="DQ249" s="257"/>
      <c r="DR249" s="257"/>
      <c r="DS249" s="257"/>
      <c r="DT249" s="259"/>
    </row>
    <row r="250" spans="1:124">
      <c r="A250" s="288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90"/>
      <c r="N250" s="260" t="s">
        <v>671</v>
      </c>
      <c r="O250" s="102"/>
      <c r="P250" s="102"/>
      <c r="Q250" s="102"/>
      <c r="R250" s="102"/>
      <c r="S250" s="102"/>
      <c r="T250" s="102"/>
      <c r="U250" s="103"/>
      <c r="V250" s="297">
        <v>40363</v>
      </c>
      <c r="W250" s="102"/>
      <c r="X250" s="102"/>
      <c r="Y250" s="102"/>
      <c r="Z250" s="102"/>
      <c r="AA250" s="103"/>
      <c r="AB250" s="280" t="s">
        <v>252</v>
      </c>
      <c r="AC250" s="281"/>
      <c r="AD250" s="281"/>
      <c r="AE250" s="281"/>
      <c r="AF250" s="282"/>
      <c r="AG250" s="260" t="s">
        <v>573</v>
      </c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3"/>
      <c r="AW250" s="261"/>
      <c r="AX250" s="102"/>
      <c r="AY250" s="102"/>
      <c r="AZ250" s="102"/>
      <c r="BA250" s="102"/>
      <c r="BB250" s="102"/>
      <c r="BC250" s="102"/>
      <c r="BD250" s="103"/>
      <c r="BE250" s="261"/>
      <c r="BF250" s="102"/>
      <c r="BG250" s="102"/>
      <c r="BH250" s="102"/>
      <c r="BI250" s="102"/>
      <c r="BJ250" s="102"/>
      <c r="BK250" s="102"/>
      <c r="BL250" s="103"/>
      <c r="BM250" s="260" t="s">
        <v>219</v>
      </c>
      <c r="BN250" s="102"/>
      <c r="BO250" s="102"/>
      <c r="BP250" s="102"/>
      <c r="BQ250" s="102"/>
      <c r="BR250" s="102"/>
      <c r="BS250" s="102"/>
      <c r="BT250" s="103"/>
      <c r="BU250" s="260" t="s">
        <v>373</v>
      </c>
      <c r="BV250" s="102"/>
      <c r="BW250" s="102"/>
      <c r="BX250" s="102"/>
      <c r="BY250" s="102"/>
      <c r="BZ250" s="102"/>
      <c r="CA250" s="102"/>
      <c r="CB250" s="103"/>
      <c r="CC250" s="260" t="s">
        <v>721</v>
      </c>
      <c r="CD250" s="102"/>
      <c r="CE250" s="102"/>
      <c r="CF250" s="102"/>
      <c r="CG250" s="102"/>
      <c r="CH250" s="102"/>
      <c r="CI250" s="102"/>
      <c r="CJ250" s="103"/>
      <c r="CK250" s="337"/>
      <c r="CL250" s="338"/>
      <c r="CM250" s="338"/>
      <c r="CN250" s="338"/>
      <c r="CO250" s="338"/>
      <c r="CP250" s="338"/>
      <c r="CQ250" s="338"/>
      <c r="CR250" s="339"/>
      <c r="CS250" s="271" t="s">
        <v>206</v>
      </c>
      <c r="CT250" s="272"/>
      <c r="CU250" s="298">
        <v>1750</v>
      </c>
      <c r="CV250" s="298"/>
      <c r="CW250" s="298"/>
      <c r="CX250" s="298"/>
      <c r="CY250" s="298"/>
      <c r="CZ250" s="299"/>
      <c r="DA250" s="274" t="s">
        <v>206</v>
      </c>
      <c r="DB250" s="275"/>
      <c r="DC250" s="275">
        <f t="shared" ref="DC250:DC275" si="8">+AB250*CU250</f>
        <v>1750</v>
      </c>
      <c r="DD250" s="275"/>
      <c r="DE250" s="275"/>
      <c r="DF250" s="275"/>
      <c r="DG250" s="275"/>
      <c r="DH250" s="275"/>
      <c r="DI250" s="276"/>
      <c r="DJ250" s="260" t="s">
        <v>305</v>
      </c>
      <c r="DK250" s="102"/>
      <c r="DL250" s="102"/>
      <c r="DM250" s="102"/>
      <c r="DN250" s="102"/>
      <c r="DO250" s="102"/>
      <c r="DP250" s="102"/>
      <c r="DQ250" s="102"/>
      <c r="DR250" s="102"/>
      <c r="DS250" s="102"/>
      <c r="DT250" s="340"/>
    </row>
    <row r="251" spans="1:124">
      <c r="A251" s="346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90"/>
      <c r="N251" s="307" t="s">
        <v>672</v>
      </c>
      <c r="O251" s="102"/>
      <c r="P251" s="102"/>
      <c r="Q251" s="102"/>
      <c r="R251" s="102"/>
      <c r="S251" s="102"/>
      <c r="T251" s="102"/>
      <c r="U251" s="103"/>
      <c r="V251" s="297">
        <v>40363</v>
      </c>
      <c r="W251" s="102"/>
      <c r="X251" s="102"/>
      <c r="Y251" s="102"/>
      <c r="Z251" s="102"/>
      <c r="AA251" s="103"/>
      <c r="AB251" s="291" t="s">
        <v>252</v>
      </c>
      <c r="AC251" s="295"/>
      <c r="AD251" s="295"/>
      <c r="AE251" s="295"/>
      <c r="AF251" s="296"/>
      <c r="AG251" s="262" t="s">
        <v>573</v>
      </c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1"/>
      <c r="AW251" s="284"/>
      <c r="AX251" s="90"/>
      <c r="AY251" s="90"/>
      <c r="AZ251" s="90"/>
      <c r="BA251" s="90"/>
      <c r="BB251" s="90"/>
      <c r="BC251" s="90"/>
      <c r="BD251" s="91"/>
      <c r="BE251" s="284"/>
      <c r="BF251" s="90"/>
      <c r="BG251" s="90"/>
      <c r="BH251" s="90"/>
      <c r="BI251" s="90"/>
      <c r="BJ251" s="90"/>
      <c r="BK251" s="90"/>
      <c r="BL251" s="91"/>
      <c r="BM251" s="262" t="s">
        <v>219</v>
      </c>
      <c r="BN251" s="90"/>
      <c r="BO251" s="90"/>
      <c r="BP251" s="90"/>
      <c r="BQ251" s="90"/>
      <c r="BR251" s="90"/>
      <c r="BS251" s="90"/>
      <c r="BT251" s="91"/>
      <c r="BU251" s="262" t="s">
        <v>373</v>
      </c>
      <c r="BV251" s="90"/>
      <c r="BW251" s="90"/>
      <c r="BX251" s="90"/>
      <c r="BY251" s="90"/>
      <c r="BZ251" s="90"/>
      <c r="CA251" s="90"/>
      <c r="CB251" s="91"/>
      <c r="CC251" s="262" t="s">
        <v>721</v>
      </c>
      <c r="CD251" s="90"/>
      <c r="CE251" s="90"/>
      <c r="CF251" s="90"/>
      <c r="CG251" s="90"/>
      <c r="CH251" s="90"/>
      <c r="CI251" s="90"/>
      <c r="CJ251" s="91"/>
      <c r="CK251" s="284"/>
      <c r="CL251" s="90"/>
      <c r="CM251" s="90"/>
      <c r="CN251" s="90"/>
      <c r="CO251" s="90"/>
      <c r="CP251" s="90"/>
      <c r="CQ251" s="90"/>
      <c r="CR251" s="91"/>
      <c r="CS251" s="271" t="s">
        <v>206</v>
      </c>
      <c r="CT251" s="272"/>
      <c r="CU251" s="298">
        <v>1750</v>
      </c>
      <c r="CV251" s="298"/>
      <c r="CW251" s="298"/>
      <c r="CX251" s="298"/>
      <c r="CY251" s="298"/>
      <c r="CZ251" s="299"/>
      <c r="DA251" s="274" t="s">
        <v>206</v>
      </c>
      <c r="DB251" s="275"/>
      <c r="DC251" s="275">
        <f t="shared" si="8"/>
        <v>1750</v>
      </c>
      <c r="DD251" s="275"/>
      <c r="DE251" s="275"/>
      <c r="DF251" s="275"/>
      <c r="DG251" s="275"/>
      <c r="DH251" s="275"/>
      <c r="DI251" s="276"/>
      <c r="DJ251" s="262" t="s">
        <v>305</v>
      </c>
      <c r="DK251" s="90"/>
      <c r="DL251" s="90"/>
      <c r="DM251" s="90"/>
      <c r="DN251" s="90"/>
      <c r="DO251" s="90"/>
      <c r="DP251" s="90"/>
      <c r="DQ251" s="90"/>
      <c r="DR251" s="90"/>
      <c r="DS251" s="90"/>
      <c r="DT251" s="263"/>
    </row>
    <row r="252" spans="1:124">
      <c r="A252" s="306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90"/>
      <c r="N252" s="307" t="s">
        <v>673</v>
      </c>
      <c r="O252" s="102"/>
      <c r="P252" s="102"/>
      <c r="Q252" s="102"/>
      <c r="R252" s="102"/>
      <c r="S252" s="102"/>
      <c r="T252" s="102"/>
      <c r="U252" s="103"/>
      <c r="V252" s="297">
        <v>40363</v>
      </c>
      <c r="W252" s="102"/>
      <c r="X252" s="102"/>
      <c r="Y252" s="102"/>
      <c r="Z252" s="102"/>
      <c r="AA252" s="103"/>
      <c r="AB252" s="291" t="s">
        <v>252</v>
      </c>
      <c r="AC252" s="295"/>
      <c r="AD252" s="295"/>
      <c r="AE252" s="295"/>
      <c r="AF252" s="296"/>
      <c r="AG252" s="262" t="s">
        <v>573</v>
      </c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1"/>
      <c r="AW252" s="284"/>
      <c r="AX252" s="90"/>
      <c r="AY252" s="90"/>
      <c r="AZ252" s="90"/>
      <c r="BA252" s="90"/>
      <c r="BB252" s="90"/>
      <c r="BC252" s="90"/>
      <c r="BD252" s="91"/>
      <c r="BE252" s="284"/>
      <c r="BF252" s="90"/>
      <c r="BG252" s="90"/>
      <c r="BH252" s="90"/>
      <c r="BI252" s="90"/>
      <c r="BJ252" s="90"/>
      <c r="BK252" s="90"/>
      <c r="BL252" s="91"/>
      <c r="BM252" s="262" t="s">
        <v>219</v>
      </c>
      <c r="BN252" s="90"/>
      <c r="BO252" s="90"/>
      <c r="BP252" s="90"/>
      <c r="BQ252" s="90"/>
      <c r="BR252" s="90"/>
      <c r="BS252" s="90"/>
      <c r="BT252" s="91"/>
      <c r="BU252" s="262" t="s">
        <v>373</v>
      </c>
      <c r="BV252" s="90"/>
      <c r="BW252" s="90"/>
      <c r="BX252" s="90"/>
      <c r="BY252" s="90"/>
      <c r="BZ252" s="90"/>
      <c r="CA252" s="90"/>
      <c r="CB252" s="91"/>
      <c r="CC252" s="262" t="s">
        <v>722</v>
      </c>
      <c r="CD252" s="90"/>
      <c r="CE252" s="90"/>
      <c r="CF252" s="90"/>
      <c r="CG252" s="90"/>
      <c r="CH252" s="90"/>
      <c r="CI252" s="90"/>
      <c r="CJ252" s="91"/>
      <c r="CK252" s="284"/>
      <c r="CL252" s="90"/>
      <c r="CM252" s="90"/>
      <c r="CN252" s="90"/>
      <c r="CO252" s="90"/>
      <c r="CP252" s="90"/>
      <c r="CQ252" s="90"/>
      <c r="CR252" s="91"/>
      <c r="CS252" s="271" t="s">
        <v>206</v>
      </c>
      <c r="CT252" s="272"/>
      <c r="CU252" s="298">
        <v>1250</v>
      </c>
      <c r="CV252" s="298"/>
      <c r="CW252" s="298"/>
      <c r="CX252" s="298"/>
      <c r="CY252" s="298"/>
      <c r="CZ252" s="299"/>
      <c r="DA252" s="274" t="s">
        <v>206</v>
      </c>
      <c r="DB252" s="275"/>
      <c r="DC252" s="275">
        <f t="shared" si="8"/>
        <v>1250</v>
      </c>
      <c r="DD252" s="275"/>
      <c r="DE252" s="275"/>
      <c r="DF252" s="275"/>
      <c r="DG252" s="275"/>
      <c r="DH252" s="275"/>
      <c r="DI252" s="276"/>
      <c r="DJ252" s="262" t="s">
        <v>305</v>
      </c>
      <c r="DK252" s="90"/>
      <c r="DL252" s="90"/>
      <c r="DM252" s="90"/>
      <c r="DN252" s="90"/>
      <c r="DO252" s="90"/>
      <c r="DP252" s="90"/>
      <c r="DQ252" s="90"/>
      <c r="DR252" s="90"/>
      <c r="DS252" s="90"/>
      <c r="DT252" s="263"/>
    </row>
    <row r="253" spans="1:124">
      <c r="A253" s="308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307" t="s">
        <v>674</v>
      </c>
      <c r="O253" s="102"/>
      <c r="P253" s="102"/>
      <c r="Q253" s="102"/>
      <c r="R253" s="102"/>
      <c r="S253" s="102"/>
      <c r="T253" s="102"/>
      <c r="U253" s="103"/>
      <c r="V253" s="311">
        <v>40363</v>
      </c>
      <c r="W253" s="347"/>
      <c r="X253" s="347"/>
      <c r="Y253" s="347"/>
      <c r="Z253" s="347"/>
      <c r="AA253" s="348"/>
      <c r="AB253" s="312" t="s">
        <v>252</v>
      </c>
      <c r="AC253" s="313"/>
      <c r="AD253" s="313"/>
      <c r="AE253" s="313"/>
      <c r="AF253" s="313"/>
      <c r="AG253" s="285" t="s">
        <v>573</v>
      </c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  <c r="AV253" s="286"/>
      <c r="AW253" s="285"/>
      <c r="AX253" s="286"/>
      <c r="AY253" s="286"/>
      <c r="AZ253" s="286"/>
      <c r="BA253" s="286"/>
      <c r="BB253" s="286"/>
      <c r="BC253" s="286"/>
      <c r="BD253" s="286"/>
      <c r="BE253" s="285"/>
      <c r="BF253" s="286"/>
      <c r="BG253" s="286"/>
      <c r="BH253" s="286"/>
      <c r="BI253" s="286"/>
      <c r="BJ253" s="286"/>
      <c r="BK253" s="286"/>
      <c r="BL253" s="286"/>
      <c r="BM253" s="285" t="s">
        <v>219</v>
      </c>
      <c r="BN253" s="286"/>
      <c r="BO253" s="286"/>
      <c r="BP253" s="286"/>
      <c r="BQ253" s="286"/>
      <c r="BR253" s="286"/>
      <c r="BS253" s="286"/>
      <c r="BT253" s="286"/>
      <c r="BU253" s="285" t="s">
        <v>373</v>
      </c>
      <c r="BV253" s="286"/>
      <c r="BW253" s="286"/>
      <c r="BX253" s="286"/>
      <c r="BY253" s="286"/>
      <c r="BZ253" s="286"/>
      <c r="CA253" s="286"/>
      <c r="CB253" s="286"/>
      <c r="CC253" s="285" t="s">
        <v>722</v>
      </c>
      <c r="CD253" s="286"/>
      <c r="CE253" s="286"/>
      <c r="CF253" s="286"/>
      <c r="CG253" s="286"/>
      <c r="CH253" s="286"/>
      <c r="CI253" s="286"/>
      <c r="CJ253" s="286"/>
      <c r="CK253" s="341"/>
      <c r="CL253" s="342"/>
      <c r="CM253" s="342"/>
      <c r="CN253" s="342"/>
      <c r="CO253" s="342"/>
      <c r="CP253" s="342"/>
      <c r="CQ253" s="342"/>
      <c r="CR253" s="343"/>
      <c r="CS253" s="271" t="s">
        <v>206</v>
      </c>
      <c r="CT253" s="272"/>
      <c r="CU253" s="298">
        <v>1250</v>
      </c>
      <c r="CV253" s="298"/>
      <c r="CW253" s="298"/>
      <c r="CX253" s="298"/>
      <c r="CY253" s="298"/>
      <c r="CZ253" s="299"/>
      <c r="DA253" s="274" t="s">
        <v>206</v>
      </c>
      <c r="DB253" s="275"/>
      <c r="DC253" s="275">
        <f t="shared" si="8"/>
        <v>1250</v>
      </c>
      <c r="DD253" s="275"/>
      <c r="DE253" s="275"/>
      <c r="DF253" s="275"/>
      <c r="DG253" s="275"/>
      <c r="DH253" s="275"/>
      <c r="DI253" s="276"/>
      <c r="DJ253" s="285" t="s">
        <v>305</v>
      </c>
      <c r="DK253" s="286"/>
      <c r="DL253" s="286"/>
      <c r="DM253" s="286"/>
      <c r="DN253" s="286"/>
      <c r="DO253" s="286"/>
      <c r="DP253" s="286"/>
      <c r="DQ253" s="286"/>
      <c r="DR253" s="286"/>
      <c r="DS253" s="286"/>
      <c r="DT253" s="287"/>
    </row>
    <row r="254" spans="1:124">
      <c r="A254" s="304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307" t="s">
        <v>675</v>
      </c>
      <c r="O254" s="397"/>
      <c r="P254" s="397"/>
      <c r="Q254" s="397"/>
      <c r="R254" s="397"/>
      <c r="S254" s="397"/>
      <c r="T254" s="397"/>
      <c r="U254" s="398"/>
      <c r="V254" s="311">
        <v>40363</v>
      </c>
      <c r="W254" s="347"/>
      <c r="X254" s="347"/>
      <c r="Y254" s="347"/>
      <c r="Z254" s="347"/>
      <c r="AA254" s="348"/>
      <c r="AB254" s="312" t="s">
        <v>252</v>
      </c>
      <c r="AC254" s="313"/>
      <c r="AD254" s="313"/>
      <c r="AE254" s="313"/>
      <c r="AF254" s="313"/>
      <c r="AG254" s="285" t="s">
        <v>573</v>
      </c>
      <c r="AH254" s="286"/>
      <c r="AI254" s="286"/>
      <c r="AJ254" s="286"/>
      <c r="AK254" s="286"/>
      <c r="AL254" s="286"/>
      <c r="AM254" s="286"/>
      <c r="AN254" s="286"/>
      <c r="AO254" s="286"/>
      <c r="AP254" s="286"/>
      <c r="AQ254" s="286"/>
      <c r="AR254" s="286"/>
      <c r="AS254" s="286"/>
      <c r="AT254" s="286"/>
      <c r="AU254" s="286"/>
      <c r="AV254" s="286"/>
      <c r="AW254" s="285"/>
      <c r="AX254" s="286"/>
      <c r="AY254" s="286"/>
      <c r="AZ254" s="286"/>
      <c r="BA254" s="286"/>
      <c r="BB254" s="286"/>
      <c r="BC254" s="286"/>
      <c r="BD254" s="286"/>
      <c r="BE254" s="286"/>
      <c r="BF254" s="286"/>
      <c r="BG254" s="286"/>
      <c r="BH254" s="286"/>
      <c r="BI254" s="286"/>
      <c r="BJ254" s="286"/>
      <c r="BK254" s="286"/>
      <c r="BL254" s="286"/>
      <c r="BM254" s="285" t="s">
        <v>219</v>
      </c>
      <c r="BN254" s="286"/>
      <c r="BO254" s="286"/>
      <c r="BP254" s="286"/>
      <c r="BQ254" s="286"/>
      <c r="BR254" s="286"/>
      <c r="BS254" s="286"/>
      <c r="BT254" s="286"/>
      <c r="BU254" s="285" t="s">
        <v>373</v>
      </c>
      <c r="BV254" s="286"/>
      <c r="BW254" s="286"/>
      <c r="BX254" s="286"/>
      <c r="BY254" s="286"/>
      <c r="BZ254" s="286"/>
      <c r="CA254" s="286"/>
      <c r="CB254" s="286"/>
      <c r="CC254" s="285" t="s">
        <v>723</v>
      </c>
      <c r="CD254" s="286"/>
      <c r="CE254" s="286"/>
      <c r="CF254" s="286"/>
      <c r="CG254" s="286"/>
      <c r="CH254" s="286"/>
      <c r="CI254" s="286"/>
      <c r="CJ254" s="286"/>
      <c r="CK254" s="341"/>
      <c r="CL254" s="342"/>
      <c r="CM254" s="342"/>
      <c r="CN254" s="342"/>
      <c r="CO254" s="342"/>
      <c r="CP254" s="342"/>
      <c r="CQ254" s="342"/>
      <c r="CR254" s="343"/>
      <c r="CS254" s="271" t="s">
        <v>206</v>
      </c>
      <c r="CT254" s="272"/>
      <c r="CU254" s="298">
        <v>1000</v>
      </c>
      <c r="CV254" s="298"/>
      <c r="CW254" s="298"/>
      <c r="CX254" s="298"/>
      <c r="CY254" s="298"/>
      <c r="CZ254" s="299"/>
      <c r="DA254" s="274" t="s">
        <v>206</v>
      </c>
      <c r="DB254" s="275"/>
      <c r="DC254" s="275">
        <f t="shared" si="8"/>
        <v>1000</v>
      </c>
      <c r="DD254" s="275"/>
      <c r="DE254" s="275"/>
      <c r="DF254" s="275"/>
      <c r="DG254" s="275"/>
      <c r="DH254" s="275"/>
      <c r="DI254" s="276"/>
      <c r="DJ254" s="285" t="s">
        <v>305</v>
      </c>
      <c r="DK254" s="286"/>
      <c r="DL254" s="286"/>
      <c r="DM254" s="286"/>
      <c r="DN254" s="286"/>
      <c r="DO254" s="286"/>
      <c r="DP254" s="286"/>
      <c r="DQ254" s="286"/>
      <c r="DR254" s="286"/>
      <c r="DS254" s="286"/>
      <c r="DT254" s="287"/>
    </row>
    <row r="255" spans="1:124">
      <c r="A255" s="304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307" t="s">
        <v>676</v>
      </c>
      <c r="O255" s="102"/>
      <c r="P255" s="102"/>
      <c r="Q255" s="102"/>
      <c r="R255" s="102"/>
      <c r="S255" s="102"/>
      <c r="T255" s="102"/>
      <c r="U255" s="103"/>
      <c r="V255" s="311">
        <v>40363</v>
      </c>
      <c r="W255" s="347"/>
      <c r="X255" s="347"/>
      <c r="Y255" s="347"/>
      <c r="Z255" s="347"/>
      <c r="AA255" s="348"/>
      <c r="AB255" s="291" t="s">
        <v>252</v>
      </c>
      <c r="AC255" s="295"/>
      <c r="AD255" s="295"/>
      <c r="AE255" s="295"/>
      <c r="AF255" s="296"/>
      <c r="AG255" s="262" t="s">
        <v>573</v>
      </c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1"/>
      <c r="AW255" s="262"/>
      <c r="AX255" s="90"/>
      <c r="AY255" s="90"/>
      <c r="AZ255" s="90"/>
      <c r="BA255" s="90"/>
      <c r="BB255" s="90"/>
      <c r="BC255" s="90"/>
      <c r="BD255" s="91"/>
      <c r="BE255" s="284"/>
      <c r="BF255" s="90"/>
      <c r="BG255" s="90"/>
      <c r="BH255" s="90"/>
      <c r="BI255" s="90"/>
      <c r="BJ255" s="90"/>
      <c r="BK255" s="90"/>
      <c r="BL255" s="91"/>
      <c r="BM255" s="262" t="s">
        <v>219</v>
      </c>
      <c r="BN255" s="90"/>
      <c r="BO255" s="90"/>
      <c r="BP255" s="90"/>
      <c r="BQ255" s="90"/>
      <c r="BR255" s="90"/>
      <c r="BS255" s="90"/>
      <c r="BT255" s="91"/>
      <c r="BU255" s="262" t="s">
        <v>373</v>
      </c>
      <c r="BV255" s="90"/>
      <c r="BW255" s="90"/>
      <c r="BX255" s="90"/>
      <c r="BY255" s="90"/>
      <c r="BZ255" s="90"/>
      <c r="CA255" s="90"/>
      <c r="CB255" s="91"/>
      <c r="CC255" s="262" t="s">
        <v>723</v>
      </c>
      <c r="CD255" s="90"/>
      <c r="CE255" s="90"/>
      <c r="CF255" s="90"/>
      <c r="CG255" s="90"/>
      <c r="CH255" s="90"/>
      <c r="CI255" s="90"/>
      <c r="CJ255" s="91"/>
      <c r="CK255" s="341"/>
      <c r="CL255" s="342"/>
      <c r="CM255" s="342"/>
      <c r="CN255" s="342"/>
      <c r="CO255" s="342"/>
      <c r="CP255" s="342"/>
      <c r="CQ255" s="342"/>
      <c r="CR255" s="343"/>
      <c r="CS255" s="271" t="s">
        <v>206</v>
      </c>
      <c r="CT255" s="272"/>
      <c r="CU255" s="298">
        <v>1000</v>
      </c>
      <c r="CV255" s="298"/>
      <c r="CW255" s="298"/>
      <c r="CX255" s="298"/>
      <c r="CY255" s="298"/>
      <c r="CZ255" s="299"/>
      <c r="DA255" s="274" t="s">
        <v>206</v>
      </c>
      <c r="DB255" s="275"/>
      <c r="DC255" s="275">
        <f t="shared" ref="DC255" si="9">+AB255*CU255</f>
        <v>1000</v>
      </c>
      <c r="DD255" s="275"/>
      <c r="DE255" s="275"/>
      <c r="DF255" s="275"/>
      <c r="DG255" s="275"/>
      <c r="DH255" s="275"/>
      <c r="DI255" s="276"/>
      <c r="DJ255" s="262" t="s">
        <v>305</v>
      </c>
      <c r="DK255" s="90"/>
      <c r="DL255" s="90"/>
      <c r="DM255" s="90"/>
      <c r="DN255" s="90"/>
      <c r="DO255" s="90"/>
      <c r="DP255" s="90"/>
      <c r="DQ255" s="90"/>
      <c r="DR255" s="90"/>
      <c r="DS255" s="90"/>
      <c r="DT255" s="263"/>
    </row>
    <row r="256" spans="1:124">
      <c r="A256" s="306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90"/>
      <c r="N256" s="307" t="s">
        <v>677</v>
      </c>
      <c r="O256" s="102"/>
      <c r="P256" s="102"/>
      <c r="Q256" s="102"/>
      <c r="R256" s="102"/>
      <c r="S256" s="102"/>
      <c r="T256" s="102"/>
      <c r="U256" s="103"/>
      <c r="V256" s="297">
        <v>41365</v>
      </c>
      <c r="W256" s="102"/>
      <c r="X256" s="102"/>
      <c r="Y256" s="102"/>
      <c r="Z256" s="102"/>
      <c r="AA256" s="103"/>
      <c r="AB256" s="291" t="s">
        <v>254</v>
      </c>
      <c r="AC256" s="295"/>
      <c r="AD256" s="295"/>
      <c r="AE256" s="295"/>
      <c r="AF256" s="296"/>
      <c r="AG256" s="262" t="s">
        <v>696</v>
      </c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1"/>
      <c r="AW256" s="284"/>
      <c r="AX256" s="90"/>
      <c r="AY256" s="90"/>
      <c r="AZ256" s="90"/>
      <c r="BA256" s="90"/>
      <c r="BB256" s="90"/>
      <c r="BC256" s="90"/>
      <c r="BD256" s="91"/>
      <c r="BE256" s="284"/>
      <c r="BF256" s="90"/>
      <c r="BG256" s="90"/>
      <c r="BH256" s="90"/>
      <c r="BI256" s="90"/>
      <c r="BJ256" s="90"/>
      <c r="BK256" s="90"/>
      <c r="BL256" s="91"/>
      <c r="BM256" s="262"/>
      <c r="BN256" s="90"/>
      <c r="BO256" s="90"/>
      <c r="BP256" s="90"/>
      <c r="BQ256" s="90"/>
      <c r="BR256" s="90"/>
      <c r="BS256" s="90"/>
      <c r="BT256" s="91"/>
      <c r="BU256" s="262"/>
      <c r="BV256" s="90"/>
      <c r="BW256" s="90"/>
      <c r="BX256" s="90"/>
      <c r="BY256" s="90"/>
      <c r="BZ256" s="90"/>
      <c r="CA256" s="90"/>
      <c r="CB256" s="91"/>
      <c r="CC256" s="262"/>
      <c r="CD256" s="90"/>
      <c r="CE256" s="90"/>
      <c r="CF256" s="90"/>
      <c r="CG256" s="90"/>
      <c r="CH256" s="90"/>
      <c r="CI256" s="90"/>
      <c r="CJ256" s="91"/>
      <c r="CK256" s="284"/>
      <c r="CL256" s="90"/>
      <c r="CM256" s="90"/>
      <c r="CN256" s="90"/>
      <c r="CO256" s="90"/>
      <c r="CP256" s="90"/>
      <c r="CQ256" s="90"/>
      <c r="CR256" s="91"/>
      <c r="CS256" s="271" t="s">
        <v>206</v>
      </c>
      <c r="CT256" s="272"/>
      <c r="CU256" s="298">
        <v>15</v>
      </c>
      <c r="CV256" s="298"/>
      <c r="CW256" s="298"/>
      <c r="CX256" s="298"/>
      <c r="CY256" s="298"/>
      <c r="CZ256" s="299"/>
      <c r="DA256" s="274" t="s">
        <v>206</v>
      </c>
      <c r="DB256" s="275"/>
      <c r="DC256" s="275">
        <f t="shared" si="8"/>
        <v>45</v>
      </c>
      <c r="DD256" s="275"/>
      <c r="DE256" s="275"/>
      <c r="DF256" s="275"/>
      <c r="DG256" s="275"/>
      <c r="DH256" s="275"/>
      <c r="DI256" s="276"/>
      <c r="DJ256" s="262" t="s">
        <v>305</v>
      </c>
      <c r="DK256" s="90"/>
      <c r="DL256" s="90"/>
      <c r="DM256" s="90"/>
      <c r="DN256" s="90"/>
      <c r="DO256" s="90"/>
      <c r="DP256" s="90"/>
      <c r="DQ256" s="90"/>
      <c r="DR256" s="90"/>
      <c r="DS256" s="90"/>
      <c r="DT256" s="263"/>
    </row>
    <row r="257" spans="1:124">
      <c r="A257" s="346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90"/>
      <c r="N257" s="309" t="s">
        <v>678</v>
      </c>
      <c r="O257" s="90"/>
      <c r="P257" s="90"/>
      <c r="Q257" s="90"/>
      <c r="R257" s="90"/>
      <c r="S257" s="90"/>
      <c r="T257" s="90"/>
      <c r="U257" s="91"/>
      <c r="V257" s="297">
        <v>42246</v>
      </c>
      <c r="W257" s="102"/>
      <c r="X257" s="102"/>
      <c r="Y257" s="102"/>
      <c r="Z257" s="102"/>
      <c r="AA257" s="103"/>
      <c r="AB257" s="291" t="s">
        <v>252</v>
      </c>
      <c r="AC257" s="295"/>
      <c r="AD257" s="295"/>
      <c r="AE257" s="295"/>
      <c r="AF257" s="296"/>
      <c r="AG257" s="262" t="s">
        <v>697</v>
      </c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1"/>
      <c r="AW257" s="262"/>
      <c r="AX257" s="90"/>
      <c r="AY257" s="90"/>
      <c r="AZ257" s="90"/>
      <c r="BA257" s="90"/>
      <c r="BB257" s="90"/>
      <c r="BC257" s="90"/>
      <c r="BD257" s="91"/>
      <c r="BE257" s="284"/>
      <c r="BF257" s="90"/>
      <c r="BG257" s="90"/>
      <c r="BH257" s="90"/>
      <c r="BI257" s="90"/>
      <c r="BJ257" s="90"/>
      <c r="BK257" s="90"/>
      <c r="BL257" s="91"/>
      <c r="BM257" s="262"/>
      <c r="BN257" s="90"/>
      <c r="BO257" s="90"/>
      <c r="BP257" s="90"/>
      <c r="BQ257" s="90"/>
      <c r="BR257" s="90"/>
      <c r="BS257" s="90"/>
      <c r="BT257" s="91"/>
      <c r="BU257" s="262"/>
      <c r="BV257" s="90"/>
      <c r="BW257" s="90"/>
      <c r="BX257" s="90"/>
      <c r="BY257" s="90"/>
      <c r="BZ257" s="90"/>
      <c r="CA257" s="90"/>
      <c r="CB257" s="91"/>
      <c r="CC257" s="284"/>
      <c r="CD257" s="90"/>
      <c r="CE257" s="90"/>
      <c r="CF257" s="90"/>
      <c r="CG257" s="90"/>
      <c r="CH257" s="90"/>
      <c r="CI257" s="90"/>
      <c r="CJ257" s="91"/>
      <c r="CK257" s="262"/>
      <c r="CL257" s="90"/>
      <c r="CM257" s="90"/>
      <c r="CN257" s="90"/>
      <c r="CO257" s="90"/>
      <c r="CP257" s="90"/>
      <c r="CQ257" s="90"/>
      <c r="CR257" s="91"/>
      <c r="CS257" s="271" t="s">
        <v>206</v>
      </c>
      <c r="CT257" s="272"/>
      <c r="CU257" s="298">
        <v>1500</v>
      </c>
      <c r="CV257" s="298"/>
      <c r="CW257" s="298"/>
      <c r="CX257" s="298"/>
      <c r="CY257" s="298"/>
      <c r="CZ257" s="299"/>
      <c r="DA257" s="274" t="s">
        <v>206</v>
      </c>
      <c r="DB257" s="275"/>
      <c r="DC257" s="275">
        <f t="shared" si="8"/>
        <v>1500</v>
      </c>
      <c r="DD257" s="275"/>
      <c r="DE257" s="275"/>
      <c r="DF257" s="275"/>
      <c r="DG257" s="275"/>
      <c r="DH257" s="275"/>
      <c r="DI257" s="276"/>
      <c r="DJ257" s="262" t="s">
        <v>305</v>
      </c>
      <c r="DK257" s="90"/>
      <c r="DL257" s="90"/>
      <c r="DM257" s="90"/>
      <c r="DN257" s="90"/>
      <c r="DO257" s="90"/>
      <c r="DP257" s="90"/>
      <c r="DQ257" s="90"/>
      <c r="DR257" s="90"/>
      <c r="DS257" s="90"/>
      <c r="DT257" s="263"/>
    </row>
    <row r="258" spans="1:124">
      <c r="A258" s="288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90"/>
      <c r="N258" s="309" t="s">
        <v>679</v>
      </c>
      <c r="O258" s="90"/>
      <c r="P258" s="90"/>
      <c r="Q258" s="90"/>
      <c r="R258" s="90"/>
      <c r="S258" s="90"/>
      <c r="T258" s="90"/>
      <c r="U258" s="91"/>
      <c r="V258" s="297">
        <v>42229</v>
      </c>
      <c r="W258" s="102"/>
      <c r="X258" s="102"/>
      <c r="Y258" s="102"/>
      <c r="Z258" s="102"/>
      <c r="AA258" s="103"/>
      <c r="AB258" s="291" t="s">
        <v>252</v>
      </c>
      <c r="AC258" s="295"/>
      <c r="AD258" s="295"/>
      <c r="AE258" s="295"/>
      <c r="AF258" s="296"/>
      <c r="AG258" s="362" t="s">
        <v>698</v>
      </c>
      <c r="AH258" s="363"/>
      <c r="AI258" s="363"/>
      <c r="AJ258" s="363"/>
      <c r="AK258" s="363"/>
      <c r="AL258" s="363"/>
      <c r="AM258" s="363"/>
      <c r="AN258" s="363"/>
      <c r="AO258" s="363"/>
      <c r="AP258" s="363"/>
      <c r="AQ258" s="363"/>
      <c r="AR258" s="363"/>
      <c r="AS258" s="363"/>
      <c r="AT258" s="363"/>
      <c r="AU258" s="363"/>
      <c r="AV258" s="364"/>
      <c r="AW258" s="284"/>
      <c r="AX258" s="90"/>
      <c r="AY258" s="90"/>
      <c r="AZ258" s="90"/>
      <c r="BA258" s="90"/>
      <c r="BB258" s="90"/>
      <c r="BC258" s="90"/>
      <c r="BD258" s="91"/>
      <c r="BE258" s="284"/>
      <c r="BF258" s="90"/>
      <c r="BG258" s="90"/>
      <c r="BH258" s="90"/>
      <c r="BI258" s="90"/>
      <c r="BJ258" s="90"/>
      <c r="BK258" s="90"/>
      <c r="BL258" s="91"/>
      <c r="BM258" s="262"/>
      <c r="BN258" s="90"/>
      <c r="BO258" s="90"/>
      <c r="BP258" s="90"/>
      <c r="BQ258" s="90"/>
      <c r="BR258" s="90"/>
      <c r="BS258" s="90"/>
      <c r="BT258" s="91"/>
      <c r="BU258" s="262"/>
      <c r="BV258" s="90"/>
      <c r="BW258" s="90"/>
      <c r="BX258" s="90"/>
      <c r="BY258" s="90"/>
      <c r="BZ258" s="90"/>
      <c r="CA258" s="90"/>
      <c r="CB258" s="91"/>
      <c r="CC258" s="284"/>
      <c r="CD258" s="90"/>
      <c r="CE258" s="90"/>
      <c r="CF258" s="90"/>
      <c r="CG258" s="90"/>
      <c r="CH258" s="90"/>
      <c r="CI258" s="90"/>
      <c r="CJ258" s="91"/>
      <c r="CK258" s="284"/>
      <c r="CL258" s="90"/>
      <c r="CM258" s="90"/>
      <c r="CN258" s="90"/>
      <c r="CO258" s="90"/>
      <c r="CP258" s="90"/>
      <c r="CQ258" s="90"/>
      <c r="CR258" s="91"/>
      <c r="CS258" s="271" t="s">
        <v>206</v>
      </c>
      <c r="CT258" s="272"/>
      <c r="CU258" s="298">
        <v>1500</v>
      </c>
      <c r="CV258" s="298"/>
      <c r="CW258" s="298"/>
      <c r="CX258" s="298"/>
      <c r="CY258" s="298"/>
      <c r="CZ258" s="299"/>
      <c r="DA258" s="274" t="s">
        <v>206</v>
      </c>
      <c r="DB258" s="275"/>
      <c r="DC258" s="275">
        <f t="shared" si="8"/>
        <v>1500</v>
      </c>
      <c r="DD258" s="275"/>
      <c r="DE258" s="275"/>
      <c r="DF258" s="275"/>
      <c r="DG258" s="275"/>
      <c r="DH258" s="275"/>
      <c r="DI258" s="276"/>
      <c r="DJ258" s="262" t="s">
        <v>305</v>
      </c>
      <c r="DK258" s="90"/>
      <c r="DL258" s="90"/>
      <c r="DM258" s="90"/>
      <c r="DN258" s="90"/>
      <c r="DO258" s="90"/>
      <c r="DP258" s="90"/>
      <c r="DQ258" s="90"/>
      <c r="DR258" s="90"/>
      <c r="DS258" s="90"/>
      <c r="DT258" s="263"/>
    </row>
    <row r="259" spans="1:124">
      <c r="A259" s="288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90"/>
      <c r="N259" s="309" t="s">
        <v>680</v>
      </c>
      <c r="O259" s="90"/>
      <c r="P259" s="90"/>
      <c r="Q259" s="90"/>
      <c r="R259" s="90"/>
      <c r="S259" s="90"/>
      <c r="T259" s="90"/>
      <c r="U259" s="91"/>
      <c r="V259" s="311">
        <v>42456</v>
      </c>
      <c r="W259" s="102"/>
      <c r="X259" s="102"/>
      <c r="Y259" s="102"/>
      <c r="Z259" s="102"/>
      <c r="AA259" s="103"/>
      <c r="AB259" s="291" t="s">
        <v>252</v>
      </c>
      <c r="AC259" s="295"/>
      <c r="AD259" s="295"/>
      <c r="AE259" s="295"/>
      <c r="AF259" s="296"/>
      <c r="AG259" s="262" t="s">
        <v>699</v>
      </c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1"/>
      <c r="AW259" s="285" t="s">
        <v>700</v>
      </c>
      <c r="AX259" s="286"/>
      <c r="AY259" s="286"/>
      <c r="AZ259" s="286"/>
      <c r="BA259" s="286"/>
      <c r="BB259" s="286"/>
      <c r="BC259" s="286"/>
      <c r="BD259" s="286"/>
      <c r="BE259" s="286"/>
      <c r="BF259" s="286"/>
      <c r="BG259" s="286"/>
      <c r="BH259" s="286"/>
      <c r="BI259" s="286"/>
      <c r="BJ259" s="286"/>
      <c r="BK259" s="286"/>
      <c r="BL259" s="286"/>
      <c r="BM259" s="285"/>
      <c r="BN259" s="286"/>
      <c r="BO259" s="286"/>
      <c r="BP259" s="286"/>
      <c r="BQ259" s="286"/>
      <c r="BR259" s="286"/>
      <c r="BS259" s="286"/>
      <c r="BT259" s="286"/>
      <c r="BU259" s="285"/>
      <c r="BV259" s="286"/>
      <c r="BW259" s="286"/>
      <c r="BX259" s="286"/>
      <c r="BY259" s="286"/>
      <c r="BZ259" s="286"/>
      <c r="CA259" s="286"/>
      <c r="CB259" s="286"/>
      <c r="CC259" s="285" t="s">
        <v>720</v>
      </c>
      <c r="CD259" s="286"/>
      <c r="CE259" s="286"/>
      <c r="CF259" s="286"/>
      <c r="CG259" s="286"/>
      <c r="CH259" s="286"/>
      <c r="CI259" s="286"/>
      <c r="CJ259" s="286"/>
      <c r="CK259" s="286"/>
      <c r="CL259" s="286"/>
      <c r="CM259" s="286"/>
      <c r="CN259" s="286"/>
      <c r="CO259" s="286"/>
      <c r="CP259" s="286"/>
      <c r="CQ259" s="286"/>
      <c r="CR259" s="286"/>
      <c r="CS259" s="271" t="s">
        <v>206</v>
      </c>
      <c r="CT259" s="272"/>
      <c r="CU259" s="298">
        <v>2350</v>
      </c>
      <c r="CV259" s="298"/>
      <c r="CW259" s="298"/>
      <c r="CX259" s="298"/>
      <c r="CY259" s="298"/>
      <c r="CZ259" s="299"/>
      <c r="DA259" s="274" t="s">
        <v>206</v>
      </c>
      <c r="DB259" s="275"/>
      <c r="DC259" s="275">
        <f t="shared" si="8"/>
        <v>2350</v>
      </c>
      <c r="DD259" s="275"/>
      <c r="DE259" s="275"/>
      <c r="DF259" s="275"/>
      <c r="DG259" s="275"/>
      <c r="DH259" s="275"/>
      <c r="DI259" s="276"/>
      <c r="DJ259" s="262" t="s">
        <v>305</v>
      </c>
      <c r="DK259" s="90"/>
      <c r="DL259" s="90"/>
      <c r="DM259" s="90"/>
      <c r="DN259" s="90"/>
      <c r="DO259" s="90"/>
      <c r="DP259" s="90"/>
      <c r="DQ259" s="90"/>
      <c r="DR259" s="90"/>
      <c r="DS259" s="90"/>
      <c r="DT259" s="263"/>
    </row>
    <row r="260" spans="1:124">
      <c r="A260" s="288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90"/>
      <c r="N260" s="262" t="s">
        <v>681</v>
      </c>
      <c r="O260" s="90"/>
      <c r="P260" s="90"/>
      <c r="Q260" s="90"/>
      <c r="R260" s="90"/>
      <c r="S260" s="90"/>
      <c r="T260" s="90"/>
      <c r="U260" s="91"/>
      <c r="V260" s="297">
        <v>43026</v>
      </c>
      <c r="W260" s="102"/>
      <c r="X260" s="102"/>
      <c r="Y260" s="102"/>
      <c r="Z260" s="102"/>
      <c r="AA260" s="103"/>
      <c r="AB260" s="291"/>
      <c r="AC260" s="295"/>
      <c r="AD260" s="295"/>
      <c r="AE260" s="295"/>
      <c r="AF260" s="296"/>
      <c r="AG260" s="357" t="s">
        <v>701</v>
      </c>
      <c r="AH260" s="358"/>
      <c r="AI260" s="358"/>
      <c r="AJ260" s="358"/>
      <c r="AK260" s="358"/>
      <c r="AL260" s="358"/>
      <c r="AM260" s="358"/>
      <c r="AN260" s="358"/>
      <c r="AO260" s="358"/>
      <c r="AP260" s="358"/>
      <c r="AQ260" s="358"/>
      <c r="AR260" s="358"/>
      <c r="AS260" s="358"/>
      <c r="AT260" s="358"/>
      <c r="AU260" s="358"/>
      <c r="AV260" s="359"/>
      <c r="AW260" s="284"/>
      <c r="AX260" s="90"/>
      <c r="AY260" s="90"/>
      <c r="AZ260" s="90"/>
      <c r="BA260" s="90"/>
      <c r="BB260" s="90"/>
      <c r="BC260" s="90"/>
      <c r="BD260" s="91"/>
      <c r="BE260" s="284"/>
      <c r="BF260" s="90"/>
      <c r="BG260" s="90"/>
      <c r="BH260" s="90"/>
      <c r="BI260" s="90"/>
      <c r="BJ260" s="90"/>
      <c r="BK260" s="90"/>
      <c r="BL260" s="91"/>
      <c r="BM260" s="262"/>
      <c r="BN260" s="90"/>
      <c r="BO260" s="90"/>
      <c r="BP260" s="90"/>
      <c r="BQ260" s="90"/>
      <c r="BR260" s="90"/>
      <c r="BS260" s="90"/>
      <c r="BT260" s="91"/>
      <c r="BU260" s="262"/>
      <c r="BV260" s="90"/>
      <c r="BW260" s="90"/>
      <c r="BX260" s="90"/>
      <c r="BY260" s="90"/>
      <c r="BZ260" s="90"/>
      <c r="CA260" s="90"/>
      <c r="CB260" s="91"/>
      <c r="CC260" s="284"/>
      <c r="CD260" s="90"/>
      <c r="CE260" s="90"/>
      <c r="CF260" s="90"/>
      <c r="CG260" s="90"/>
      <c r="CH260" s="90"/>
      <c r="CI260" s="90"/>
      <c r="CJ260" s="91"/>
      <c r="CK260" s="284"/>
      <c r="CL260" s="90"/>
      <c r="CM260" s="90"/>
      <c r="CN260" s="90"/>
      <c r="CO260" s="90"/>
      <c r="CP260" s="90"/>
      <c r="CQ260" s="90"/>
      <c r="CR260" s="91"/>
      <c r="CS260" s="271" t="s">
        <v>206</v>
      </c>
      <c r="CT260" s="272"/>
      <c r="CU260" s="298">
        <v>1950</v>
      </c>
      <c r="CV260" s="298"/>
      <c r="CW260" s="298"/>
      <c r="CX260" s="298"/>
      <c r="CY260" s="298"/>
      <c r="CZ260" s="299"/>
      <c r="DA260" s="274" t="s">
        <v>206</v>
      </c>
      <c r="DB260" s="275"/>
      <c r="DC260" s="399">
        <v>1950</v>
      </c>
      <c r="DD260" s="399"/>
      <c r="DE260" s="399"/>
      <c r="DF260" s="399"/>
      <c r="DG260" s="399"/>
      <c r="DH260" s="399"/>
      <c r="DI260" s="400"/>
      <c r="DJ260" s="262" t="s">
        <v>305</v>
      </c>
      <c r="DK260" s="90"/>
      <c r="DL260" s="90"/>
      <c r="DM260" s="90"/>
      <c r="DN260" s="90"/>
      <c r="DO260" s="90"/>
      <c r="DP260" s="90"/>
      <c r="DQ260" s="90"/>
      <c r="DR260" s="90"/>
      <c r="DS260" s="90"/>
      <c r="DT260" s="263"/>
    </row>
    <row r="261" spans="1:124">
      <c r="A261" s="304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62" t="s">
        <v>682</v>
      </c>
      <c r="O261" s="90"/>
      <c r="P261" s="90"/>
      <c r="Q261" s="90"/>
      <c r="R261" s="90"/>
      <c r="S261" s="90"/>
      <c r="T261" s="90"/>
      <c r="U261" s="91"/>
      <c r="V261" s="297">
        <v>43443</v>
      </c>
      <c r="W261" s="102"/>
      <c r="X261" s="102"/>
      <c r="Y261" s="102"/>
      <c r="Z261" s="102"/>
      <c r="AA261" s="103"/>
      <c r="AB261" s="291" t="s">
        <v>252</v>
      </c>
      <c r="AC261" s="295"/>
      <c r="AD261" s="295"/>
      <c r="AE261" s="295"/>
      <c r="AF261" s="296"/>
      <c r="AG261" s="357" t="s">
        <v>702</v>
      </c>
      <c r="AH261" s="358"/>
      <c r="AI261" s="358"/>
      <c r="AJ261" s="358"/>
      <c r="AK261" s="358"/>
      <c r="AL261" s="358"/>
      <c r="AM261" s="358"/>
      <c r="AN261" s="358"/>
      <c r="AO261" s="358"/>
      <c r="AP261" s="358"/>
      <c r="AQ261" s="358"/>
      <c r="AR261" s="358"/>
      <c r="AS261" s="358"/>
      <c r="AT261" s="358"/>
      <c r="AU261" s="358"/>
      <c r="AV261" s="359"/>
      <c r="AW261" s="284"/>
      <c r="AX261" s="90"/>
      <c r="AY261" s="90"/>
      <c r="AZ261" s="90"/>
      <c r="BA261" s="90"/>
      <c r="BB261" s="90"/>
      <c r="BC261" s="90"/>
      <c r="BD261" s="91"/>
      <c r="BE261" s="284"/>
      <c r="BF261" s="90"/>
      <c r="BG261" s="90"/>
      <c r="BH261" s="90"/>
      <c r="BI261" s="90"/>
      <c r="BJ261" s="90"/>
      <c r="BK261" s="90"/>
      <c r="BL261" s="91"/>
      <c r="BM261" s="262" t="s">
        <v>219</v>
      </c>
      <c r="BN261" s="90"/>
      <c r="BO261" s="90"/>
      <c r="BP261" s="90"/>
      <c r="BQ261" s="90"/>
      <c r="BR261" s="90"/>
      <c r="BS261" s="90"/>
      <c r="BT261" s="91"/>
      <c r="BU261" s="262"/>
      <c r="BV261" s="90"/>
      <c r="BW261" s="90"/>
      <c r="BX261" s="90"/>
      <c r="BY261" s="90"/>
      <c r="BZ261" s="90"/>
      <c r="CA261" s="90"/>
      <c r="CB261" s="91"/>
      <c r="CC261" s="284"/>
      <c r="CD261" s="90"/>
      <c r="CE261" s="90"/>
      <c r="CF261" s="90"/>
      <c r="CG261" s="90"/>
      <c r="CH261" s="90"/>
      <c r="CI261" s="90"/>
      <c r="CJ261" s="91"/>
      <c r="CK261" s="284"/>
      <c r="CL261" s="90"/>
      <c r="CM261" s="90"/>
      <c r="CN261" s="90"/>
      <c r="CO261" s="90"/>
      <c r="CP261" s="90"/>
      <c r="CQ261" s="90"/>
      <c r="CR261" s="91"/>
      <c r="CS261" s="271" t="s">
        <v>206</v>
      </c>
      <c r="CT261" s="272"/>
      <c r="CU261" s="298">
        <v>5000</v>
      </c>
      <c r="CV261" s="298"/>
      <c r="CW261" s="298"/>
      <c r="CX261" s="298"/>
      <c r="CY261" s="298"/>
      <c r="CZ261" s="299"/>
      <c r="DA261" s="274" t="s">
        <v>206</v>
      </c>
      <c r="DB261" s="275"/>
      <c r="DC261" s="275">
        <f t="shared" si="8"/>
        <v>5000</v>
      </c>
      <c r="DD261" s="275"/>
      <c r="DE261" s="275"/>
      <c r="DF261" s="275"/>
      <c r="DG261" s="275"/>
      <c r="DH261" s="275"/>
      <c r="DI261" s="276"/>
      <c r="DJ261" s="262" t="s">
        <v>305</v>
      </c>
      <c r="DK261" s="90"/>
      <c r="DL261" s="90"/>
      <c r="DM261" s="90"/>
      <c r="DN261" s="90"/>
      <c r="DO261" s="90"/>
      <c r="DP261" s="90"/>
      <c r="DQ261" s="90"/>
      <c r="DR261" s="90"/>
      <c r="DS261" s="90"/>
      <c r="DT261" s="263"/>
    </row>
    <row r="262" spans="1:124">
      <c r="A262" s="304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85" t="s">
        <v>683</v>
      </c>
      <c r="O262" s="286"/>
      <c r="P262" s="286"/>
      <c r="Q262" s="286"/>
      <c r="R262" s="286"/>
      <c r="S262" s="286"/>
      <c r="T262" s="286"/>
      <c r="U262" s="286"/>
      <c r="V262" s="297">
        <v>43734</v>
      </c>
      <c r="W262" s="102"/>
      <c r="X262" s="102"/>
      <c r="Y262" s="102"/>
      <c r="Z262" s="102"/>
      <c r="AA262" s="103"/>
      <c r="AB262" s="312" t="s">
        <v>252</v>
      </c>
      <c r="AC262" s="313"/>
      <c r="AD262" s="313"/>
      <c r="AE262" s="313"/>
      <c r="AF262" s="313"/>
      <c r="AG262" s="357" t="s">
        <v>703</v>
      </c>
      <c r="AH262" s="358"/>
      <c r="AI262" s="358"/>
      <c r="AJ262" s="358"/>
      <c r="AK262" s="358"/>
      <c r="AL262" s="358"/>
      <c r="AM262" s="358"/>
      <c r="AN262" s="358"/>
      <c r="AO262" s="358"/>
      <c r="AP262" s="358"/>
      <c r="AQ262" s="358"/>
      <c r="AR262" s="358"/>
      <c r="AS262" s="358"/>
      <c r="AT262" s="358"/>
      <c r="AU262" s="358"/>
      <c r="AV262" s="359"/>
      <c r="AW262" s="285" t="s">
        <v>710</v>
      </c>
      <c r="AX262" s="286"/>
      <c r="AY262" s="286"/>
      <c r="AZ262" s="286"/>
      <c r="BA262" s="286"/>
      <c r="BB262" s="286"/>
      <c r="BC262" s="286"/>
      <c r="BD262" s="286"/>
      <c r="BE262" s="286"/>
      <c r="BF262" s="286"/>
      <c r="BG262" s="286"/>
      <c r="BH262" s="286"/>
      <c r="BI262" s="286"/>
      <c r="BJ262" s="286"/>
      <c r="BK262" s="286"/>
      <c r="BL262" s="286"/>
      <c r="BM262" s="262"/>
      <c r="BN262" s="90"/>
      <c r="BO262" s="90"/>
      <c r="BP262" s="90"/>
      <c r="BQ262" s="90"/>
      <c r="BR262" s="90"/>
      <c r="BS262" s="90"/>
      <c r="BT262" s="91"/>
      <c r="BU262" s="262"/>
      <c r="BV262" s="90"/>
      <c r="BW262" s="90"/>
      <c r="BX262" s="90"/>
      <c r="BY262" s="90"/>
      <c r="BZ262" s="90"/>
      <c r="CA262" s="90"/>
      <c r="CB262" s="91"/>
      <c r="CC262" s="286"/>
      <c r="CD262" s="286"/>
      <c r="CE262" s="286"/>
      <c r="CF262" s="286"/>
      <c r="CG262" s="286"/>
      <c r="CH262" s="286"/>
      <c r="CI262" s="286"/>
      <c r="CJ262" s="286"/>
      <c r="CK262" s="286"/>
      <c r="CL262" s="286"/>
      <c r="CM262" s="286"/>
      <c r="CN262" s="286"/>
      <c r="CO262" s="286"/>
      <c r="CP262" s="286"/>
      <c r="CQ262" s="286"/>
      <c r="CR262" s="286"/>
      <c r="CS262" s="271" t="s">
        <v>206</v>
      </c>
      <c r="CT262" s="272"/>
      <c r="CU262" s="298">
        <v>6000</v>
      </c>
      <c r="CV262" s="298"/>
      <c r="CW262" s="298"/>
      <c r="CX262" s="298"/>
      <c r="CY262" s="298"/>
      <c r="CZ262" s="299"/>
      <c r="DA262" s="274" t="s">
        <v>206</v>
      </c>
      <c r="DB262" s="275"/>
      <c r="DC262" s="275">
        <f t="shared" si="8"/>
        <v>6000</v>
      </c>
      <c r="DD262" s="275"/>
      <c r="DE262" s="275"/>
      <c r="DF262" s="275"/>
      <c r="DG262" s="275"/>
      <c r="DH262" s="275"/>
      <c r="DI262" s="276"/>
      <c r="DJ262" s="262" t="s">
        <v>305</v>
      </c>
      <c r="DK262" s="90"/>
      <c r="DL262" s="90"/>
      <c r="DM262" s="90"/>
      <c r="DN262" s="90"/>
      <c r="DO262" s="90"/>
      <c r="DP262" s="90"/>
      <c r="DQ262" s="90"/>
      <c r="DR262" s="90"/>
      <c r="DS262" s="90"/>
      <c r="DT262" s="263"/>
    </row>
    <row r="263" spans="1:124">
      <c r="A263" s="304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85" t="s">
        <v>684</v>
      </c>
      <c r="O263" s="286"/>
      <c r="P263" s="286"/>
      <c r="Q263" s="286"/>
      <c r="R263" s="286"/>
      <c r="S263" s="286"/>
      <c r="T263" s="286"/>
      <c r="U263" s="286"/>
      <c r="V263" s="297">
        <v>43734</v>
      </c>
      <c r="W263" s="102"/>
      <c r="X263" s="102"/>
      <c r="Y263" s="102"/>
      <c r="Z263" s="102"/>
      <c r="AA263" s="103"/>
      <c r="AB263" s="312" t="s">
        <v>252</v>
      </c>
      <c r="AC263" s="313"/>
      <c r="AD263" s="313"/>
      <c r="AE263" s="313"/>
      <c r="AF263" s="313"/>
      <c r="AG263" s="285" t="s">
        <v>577</v>
      </c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  <c r="AV263" s="286"/>
      <c r="AW263" s="285" t="s">
        <v>711</v>
      </c>
      <c r="AX263" s="286"/>
      <c r="AY263" s="286"/>
      <c r="AZ263" s="286"/>
      <c r="BA263" s="286"/>
      <c r="BB263" s="286"/>
      <c r="BC263" s="286"/>
      <c r="BD263" s="286"/>
      <c r="BE263" s="286"/>
      <c r="BF263" s="286"/>
      <c r="BG263" s="286"/>
      <c r="BH263" s="286"/>
      <c r="BI263" s="286"/>
      <c r="BJ263" s="286"/>
      <c r="BK263" s="286"/>
      <c r="BL263" s="286"/>
      <c r="BM263" s="285"/>
      <c r="BN263" s="286"/>
      <c r="BO263" s="286"/>
      <c r="BP263" s="286"/>
      <c r="BQ263" s="286"/>
      <c r="BR263" s="286"/>
      <c r="BS263" s="286"/>
      <c r="BT263" s="286"/>
      <c r="BU263" s="262" t="s">
        <v>295</v>
      </c>
      <c r="BV263" s="90"/>
      <c r="BW263" s="90"/>
      <c r="BX263" s="90"/>
      <c r="BY263" s="90"/>
      <c r="BZ263" s="90"/>
      <c r="CA263" s="90"/>
      <c r="CB263" s="91"/>
      <c r="CC263" s="286"/>
      <c r="CD263" s="286"/>
      <c r="CE263" s="286"/>
      <c r="CF263" s="286"/>
      <c r="CG263" s="286"/>
      <c r="CH263" s="286"/>
      <c r="CI263" s="286"/>
      <c r="CJ263" s="286"/>
      <c r="CK263" s="286"/>
      <c r="CL263" s="286"/>
      <c r="CM263" s="286"/>
      <c r="CN263" s="286"/>
      <c r="CO263" s="286"/>
      <c r="CP263" s="286"/>
      <c r="CQ263" s="286"/>
      <c r="CR263" s="286"/>
      <c r="CS263" s="271" t="s">
        <v>206</v>
      </c>
      <c r="CT263" s="272"/>
      <c r="CU263" s="298">
        <v>350</v>
      </c>
      <c r="CV263" s="298"/>
      <c r="CW263" s="298"/>
      <c r="CX263" s="298"/>
      <c r="CY263" s="298"/>
      <c r="CZ263" s="299"/>
      <c r="DA263" s="274" t="s">
        <v>206</v>
      </c>
      <c r="DB263" s="275"/>
      <c r="DC263" s="275">
        <f t="shared" si="8"/>
        <v>350</v>
      </c>
      <c r="DD263" s="275"/>
      <c r="DE263" s="275"/>
      <c r="DF263" s="275"/>
      <c r="DG263" s="275"/>
      <c r="DH263" s="275"/>
      <c r="DI263" s="276"/>
      <c r="DJ263" s="262" t="s">
        <v>305</v>
      </c>
      <c r="DK263" s="90"/>
      <c r="DL263" s="90"/>
      <c r="DM263" s="90"/>
      <c r="DN263" s="90"/>
      <c r="DO263" s="90"/>
      <c r="DP263" s="90"/>
      <c r="DQ263" s="90"/>
      <c r="DR263" s="90"/>
      <c r="DS263" s="90"/>
      <c r="DT263" s="263"/>
    </row>
    <row r="264" spans="1:124">
      <c r="A264" s="288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90"/>
      <c r="N264" s="262" t="s">
        <v>685</v>
      </c>
      <c r="O264" s="90"/>
      <c r="P264" s="90"/>
      <c r="Q264" s="90"/>
      <c r="R264" s="90"/>
      <c r="S264" s="90"/>
      <c r="T264" s="90"/>
      <c r="U264" s="91"/>
      <c r="V264" s="297">
        <v>43734</v>
      </c>
      <c r="W264" s="102"/>
      <c r="X264" s="102"/>
      <c r="Y264" s="102"/>
      <c r="Z264" s="102"/>
      <c r="AA264" s="103"/>
      <c r="AB264" s="291" t="s">
        <v>252</v>
      </c>
      <c r="AC264" s="295"/>
      <c r="AD264" s="295"/>
      <c r="AE264" s="295"/>
      <c r="AF264" s="296"/>
      <c r="AG264" s="262" t="s">
        <v>445</v>
      </c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1"/>
      <c r="AW264" s="262" t="s">
        <v>276</v>
      </c>
      <c r="AX264" s="90"/>
      <c r="AY264" s="90"/>
      <c r="AZ264" s="90"/>
      <c r="BA264" s="90"/>
      <c r="BB264" s="90"/>
      <c r="BC264" s="90"/>
      <c r="BD264" s="91"/>
      <c r="BE264" s="284"/>
      <c r="BF264" s="90"/>
      <c r="BG264" s="90"/>
      <c r="BH264" s="90"/>
      <c r="BI264" s="90"/>
      <c r="BJ264" s="90"/>
      <c r="BK264" s="90"/>
      <c r="BL264" s="91"/>
      <c r="BM264" s="285"/>
      <c r="BN264" s="286"/>
      <c r="BO264" s="286"/>
      <c r="BP264" s="286"/>
      <c r="BQ264" s="286"/>
      <c r="BR264" s="286"/>
      <c r="BS264" s="286"/>
      <c r="BT264" s="286"/>
      <c r="BU264" s="262" t="s">
        <v>291</v>
      </c>
      <c r="BV264" s="90"/>
      <c r="BW264" s="90"/>
      <c r="BX264" s="90"/>
      <c r="BY264" s="90"/>
      <c r="BZ264" s="90"/>
      <c r="CA264" s="90"/>
      <c r="CB264" s="91"/>
      <c r="CC264" s="284"/>
      <c r="CD264" s="90"/>
      <c r="CE264" s="90"/>
      <c r="CF264" s="90"/>
      <c r="CG264" s="90"/>
      <c r="CH264" s="90"/>
      <c r="CI264" s="90"/>
      <c r="CJ264" s="91"/>
      <c r="CK264" s="284"/>
      <c r="CL264" s="90"/>
      <c r="CM264" s="90"/>
      <c r="CN264" s="90"/>
      <c r="CO264" s="90"/>
      <c r="CP264" s="90"/>
      <c r="CQ264" s="90"/>
      <c r="CR264" s="91"/>
      <c r="CS264" s="271" t="s">
        <v>206</v>
      </c>
      <c r="CT264" s="272"/>
      <c r="CU264" s="298">
        <v>1000</v>
      </c>
      <c r="CV264" s="298"/>
      <c r="CW264" s="298"/>
      <c r="CX264" s="298"/>
      <c r="CY264" s="298"/>
      <c r="CZ264" s="299"/>
      <c r="DA264" s="274" t="s">
        <v>206</v>
      </c>
      <c r="DB264" s="275"/>
      <c r="DC264" s="275">
        <f t="shared" si="8"/>
        <v>1000</v>
      </c>
      <c r="DD264" s="275"/>
      <c r="DE264" s="275"/>
      <c r="DF264" s="275"/>
      <c r="DG264" s="275"/>
      <c r="DH264" s="275"/>
      <c r="DI264" s="276"/>
      <c r="DJ264" s="262" t="s">
        <v>305</v>
      </c>
      <c r="DK264" s="90"/>
      <c r="DL264" s="90"/>
      <c r="DM264" s="90"/>
      <c r="DN264" s="90"/>
      <c r="DO264" s="90"/>
      <c r="DP264" s="90"/>
      <c r="DQ264" s="90"/>
      <c r="DR264" s="90"/>
      <c r="DS264" s="90"/>
      <c r="DT264" s="263"/>
    </row>
    <row r="265" spans="1:124">
      <c r="A265" s="288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90"/>
      <c r="N265" s="262" t="s">
        <v>686</v>
      </c>
      <c r="O265" s="90"/>
      <c r="P265" s="90"/>
      <c r="Q265" s="90"/>
      <c r="R265" s="90"/>
      <c r="S265" s="90"/>
      <c r="T265" s="90"/>
      <c r="U265" s="91"/>
      <c r="V265" s="297">
        <v>43734</v>
      </c>
      <c r="W265" s="102"/>
      <c r="X265" s="102"/>
      <c r="Y265" s="102"/>
      <c r="Z265" s="102"/>
      <c r="AA265" s="103"/>
      <c r="AB265" s="291" t="s">
        <v>252</v>
      </c>
      <c r="AC265" s="295"/>
      <c r="AD265" s="295"/>
      <c r="AE265" s="295"/>
      <c r="AF265" s="296"/>
      <c r="AG265" s="262" t="s">
        <v>349</v>
      </c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1"/>
      <c r="AW265" s="284"/>
      <c r="AX265" s="90"/>
      <c r="AY265" s="90"/>
      <c r="AZ265" s="90"/>
      <c r="BA265" s="90"/>
      <c r="BB265" s="90"/>
      <c r="BC265" s="90"/>
      <c r="BD265" s="91"/>
      <c r="BE265" s="284"/>
      <c r="BF265" s="90"/>
      <c r="BG265" s="90"/>
      <c r="BH265" s="90"/>
      <c r="BI265" s="90"/>
      <c r="BJ265" s="90"/>
      <c r="BK265" s="90"/>
      <c r="BL265" s="91"/>
      <c r="BM265" s="262"/>
      <c r="BN265" s="90"/>
      <c r="BO265" s="90"/>
      <c r="BP265" s="90"/>
      <c r="BQ265" s="90"/>
      <c r="BR265" s="90"/>
      <c r="BS265" s="90"/>
      <c r="BT265" s="91"/>
      <c r="BU265" s="262" t="s">
        <v>373</v>
      </c>
      <c r="BV265" s="90"/>
      <c r="BW265" s="90"/>
      <c r="BX265" s="90"/>
      <c r="BY265" s="90"/>
      <c r="BZ265" s="90"/>
      <c r="CA265" s="90"/>
      <c r="CB265" s="91"/>
      <c r="CC265" s="262"/>
      <c r="CD265" s="90"/>
      <c r="CE265" s="90"/>
      <c r="CF265" s="90"/>
      <c r="CG265" s="90"/>
      <c r="CH265" s="90"/>
      <c r="CI265" s="90"/>
      <c r="CJ265" s="91"/>
      <c r="CK265" s="284"/>
      <c r="CL265" s="90"/>
      <c r="CM265" s="90"/>
      <c r="CN265" s="90"/>
      <c r="CO265" s="90"/>
      <c r="CP265" s="90"/>
      <c r="CQ265" s="90"/>
      <c r="CR265" s="91"/>
      <c r="CS265" s="271" t="s">
        <v>206</v>
      </c>
      <c r="CT265" s="272"/>
      <c r="CU265" s="298">
        <v>200</v>
      </c>
      <c r="CV265" s="298"/>
      <c r="CW265" s="298"/>
      <c r="CX265" s="298"/>
      <c r="CY265" s="298"/>
      <c r="CZ265" s="299"/>
      <c r="DA265" s="274" t="s">
        <v>206</v>
      </c>
      <c r="DB265" s="275"/>
      <c r="DC265" s="275">
        <f t="shared" si="8"/>
        <v>200</v>
      </c>
      <c r="DD265" s="275"/>
      <c r="DE265" s="275"/>
      <c r="DF265" s="275"/>
      <c r="DG265" s="275"/>
      <c r="DH265" s="275"/>
      <c r="DI265" s="276"/>
      <c r="DJ265" s="262" t="s">
        <v>305</v>
      </c>
      <c r="DK265" s="90"/>
      <c r="DL265" s="90"/>
      <c r="DM265" s="90"/>
      <c r="DN265" s="90"/>
      <c r="DO265" s="90"/>
      <c r="DP265" s="90"/>
      <c r="DQ265" s="90"/>
      <c r="DR265" s="90"/>
      <c r="DS265" s="90"/>
      <c r="DT265" s="263"/>
    </row>
    <row r="266" spans="1:124">
      <c r="A266" s="304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85" t="s">
        <v>687</v>
      </c>
      <c r="O266" s="286"/>
      <c r="P266" s="286"/>
      <c r="Q266" s="286"/>
      <c r="R266" s="286"/>
      <c r="S266" s="286"/>
      <c r="T266" s="286"/>
      <c r="U266" s="286"/>
      <c r="V266" s="297">
        <v>44095</v>
      </c>
      <c r="W266" s="102"/>
      <c r="X266" s="102"/>
      <c r="Y266" s="102"/>
      <c r="Z266" s="102"/>
      <c r="AA266" s="103"/>
      <c r="AB266" s="312" t="s">
        <v>252</v>
      </c>
      <c r="AC266" s="313"/>
      <c r="AD266" s="313"/>
      <c r="AE266" s="313"/>
      <c r="AF266" s="313"/>
      <c r="AG266" s="357" t="s">
        <v>704</v>
      </c>
      <c r="AH266" s="358"/>
      <c r="AI266" s="358"/>
      <c r="AJ266" s="358"/>
      <c r="AK266" s="358"/>
      <c r="AL266" s="358"/>
      <c r="AM266" s="358"/>
      <c r="AN266" s="358"/>
      <c r="AO266" s="358"/>
      <c r="AP266" s="358"/>
      <c r="AQ266" s="358"/>
      <c r="AR266" s="358"/>
      <c r="AS266" s="358"/>
      <c r="AT266" s="358"/>
      <c r="AU266" s="358"/>
      <c r="AV266" s="359"/>
      <c r="AW266" s="286"/>
      <c r="AX266" s="286"/>
      <c r="AY266" s="286"/>
      <c r="AZ266" s="286"/>
      <c r="BA266" s="286"/>
      <c r="BB266" s="286"/>
      <c r="BC266" s="286"/>
      <c r="BD266" s="286"/>
      <c r="BE266" s="286"/>
      <c r="BF266" s="286"/>
      <c r="BG266" s="286"/>
      <c r="BH266" s="286"/>
      <c r="BI266" s="286"/>
      <c r="BJ266" s="286"/>
      <c r="BK266" s="286"/>
      <c r="BL266" s="286"/>
      <c r="BM266" s="262"/>
      <c r="BN266" s="90"/>
      <c r="BO266" s="90"/>
      <c r="BP266" s="90"/>
      <c r="BQ266" s="90"/>
      <c r="BR266" s="90"/>
      <c r="BS266" s="90"/>
      <c r="BT266" s="91"/>
      <c r="BU266" s="262"/>
      <c r="BV266" s="90"/>
      <c r="BW266" s="90"/>
      <c r="BX266" s="90"/>
      <c r="BY266" s="90"/>
      <c r="BZ266" s="90"/>
      <c r="CA266" s="90"/>
      <c r="CB266" s="91"/>
      <c r="CC266" s="286"/>
      <c r="CD266" s="286"/>
      <c r="CE266" s="286"/>
      <c r="CF266" s="286"/>
      <c r="CG266" s="286"/>
      <c r="CH266" s="286"/>
      <c r="CI266" s="286"/>
      <c r="CJ266" s="286"/>
      <c r="CK266" s="286"/>
      <c r="CL266" s="286"/>
      <c r="CM266" s="286"/>
      <c r="CN266" s="286"/>
      <c r="CO266" s="286"/>
      <c r="CP266" s="286"/>
      <c r="CQ266" s="286"/>
      <c r="CR266" s="286"/>
      <c r="CS266" s="271" t="s">
        <v>206</v>
      </c>
      <c r="CT266" s="272"/>
      <c r="CU266" s="298">
        <v>200</v>
      </c>
      <c r="CV266" s="298"/>
      <c r="CW266" s="298"/>
      <c r="CX266" s="298"/>
      <c r="CY266" s="298"/>
      <c r="CZ266" s="299"/>
      <c r="DA266" s="274" t="s">
        <v>206</v>
      </c>
      <c r="DB266" s="275"/>
      <c r="DC266" s="275">
        <f t="shared" si="8"/>
        <v>200</v>
      </c>
      <c r="DD266" s="275"/>
      <c r="DE266" s="275"/>
      <c r="DF266" s="275"/>
      <c r="DG266" s="275"/>
      <c r="DH266" s="275"/>
      <c r="DI266" s="276"/>
      <c r="DJ266" s="262" t="s">
        <v>305</v>
      </c>
      <c r="DK266" s="90"/>
      <c r="DL266" s="90"/>
      <c r="DM266" s="90"/>
      <c r="DN266" s="90"/>
      <c r="DO266" s="90"/>
      <c r="DP266" s="90"/>
      <c r="DQ266" s="90"/>
      <c r="DR266" s="90"/>
      <c r="DS266" s="90"/>
      <c r="DT266" s="263"/>
    </row>
    <row r="267" spans="1:124" s="54" customFormat="1">
      <c r="A267" s="405"/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7"/>
      <c r="N267" s="374" t="s">
        <v>610</v>
      </c>
      <c r="O267" s="375"/>
      <c r="P267" s="375"/>
      <c r="Q267" s="375"/>
      <c r="R267" s="375"/>
      <c r="S267" s="375"/>
      <c r="T267" s="375"/>
      <c r="U267" s="408"/>
      <c r="V267" s="409">
        <v>45111</v>
      </c>
      <c r="W267" s="375"/>
      <c r="X267" s="375"/>
      <c r="Y267" s="375"/>
      <c r="Z267" s="375"/>
      <c r="AA267" s="408"/>
      <c r="AB267" s="353" t="s">
        <v>252</v>
      </c>
      <c r="AC267" s="354"/>
      <c r="AD267" s="354"/>
      <c r="AE267" s="354"/>
      <c r="AF267" s="355"/>
      <c r="AG267" s="350" t="s">
        <v>705</v>
      </c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6"/>
      <c r="AW267" s="350"/>
      <c r="AX267" s="351"/>
      <c r="AY267" s="351"/>
      <c r="AZ267" s="351"/>
      <c r="BA267" s="351"/>
      <c r="BB267" s="351"/>
      <c r="BC267" s="351"/>
      <c r="BD267" s="356"/>
      <c r="BE267" s="350" t="s">
        <v>714</v>
      </c>
      <c r="BF267" s="351"/>
      <c r="BG267" s="351"/>
      <c r="BH267" s="351"/>
      <c r="BI267" s="351"/>
      <c r="BJ267" s="351"/>
      <c r="BK267" s="351"/>
      <c r="BL267" s="356"/>
      <c r="BM267" s="344" t="s">
        <v>522</v>
      </c>
      <c r="BN267" s="344"/>
      <c r="BO267" s="344"/>
      <c r="BP267" s="344"/>
      <c r="BQ267" s="344"/>
      <c r="BR267" s="344"/>
      <c r="BS267" s="344"/>
      <c r="BT267" s="344"/>
      <c r="BU267" s="350" t="s">
        <v>600</v>
      </c>
      <c r="BV267" s="351"/>
      <c r="BW267" s="351"/>
      <c r="BX267" s="351"/>
      <c r="BY267" s="351"/>
      <c r="BZ267" s="351"/>
      <c r="CA267" s="351"/>
      <c r="CB267" s="356"/>
      <c r="CC267" s="350"/>
      <c r="CD267" s="351"/>
      <c r="CE267" s="351"/>
      <c r="CF267" s="351"/>
      <c r="CG267" s="351"/>
      <c r="CH267" s="351"/>
      <c r="CI267" s="351"/>
      <c r="CJ267" s="356"/>
      <c r="CK267" s="350"/>
      <c r="CL267" s="351"/>
      <c r="CM267" s="351"/>
      <c r="CN267" s="351"/>
      <c r="CO267" s="351"/>
      <c r="CP267" s="351"/>
      <c r="CQ267" s="351"/>
      <c r="CR267" s="356"/>
      <c r="CS267" s="401" t="s">
        <v>206</v>
      </c>
      <c r="CT267" s="402"/>
      <c r="CU267" s="403">
        <v>30000</v>
      </c>
      <c r="CV267" s="403"/>
      <c r="CW267" s="403"/>
      <c r="CX267" s="403"/>
      <c r="CY267" s="403"/>
      <c r="CZ267" s="404"/>
      <c r="DA267" s="410" t="s">
        <v>206</v>
      </c>
      <c r="DB267" s="399"/>
      <c r="DC267" s="399">
        <f t="shared" si="8"/>
        <v>30000</v>
      </c>
      <c r="DD267" s="399"/>
      <c r="DE267" s="399"/>
      <c r="DF267" s="399"/>
      <c r="DG267" s="399"/>
      <c r="DH267" s="399"/>
      <c r="DI267" s="400"/>
      <c r="DJ267" s="350" t="s">
        <v>305</v>
      </c>
      <c r="DK267" s="351"/>
      <c r="DL267" s="351"/>
      <c r="DM267" s="351"/>
      <c r="DN267" s="351"/>
      <c r="DO267" s="351"/>
      <c r="DP267" s="351"/>
      <c r="DQ267" s="351"/>
      <c r="DR267" s="351"/>
      <c r="DS267" s="351"/>
      <c r="DT267" s="352"/>
    </row>
    <row r="268" spans="1:124">
      <c r="A268" s="288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90"/>
      <c r="N268" s="262" t="s">
        <v>688</v>
      </c>
      <c r="O268" s="90"/>
      <c r="P268" s="90"/>
      <c r="Q268" s="90"/>
      <c r="R268" s="90"/>
      <c r="S268" s="90"/>
      <c r="T268" s="90"/>
      <c r="U268" s="91"/>
      <c r="V268" s="305" t="s">
        <v>249</v>
      </c>
      <c r="W268" s="102"/>
      <c r="X268" s="102"/>
      <c r="Y268" s="102"/>
      <c r="Z268" s="102"/>
      <c r="AA268" s="103"/>
      <c r="AB268" s="291" t="s">
        <v>252</v>
      </c>
      <c r="AC268" s="295"/>
      <c r="AD268" s="295"/>
      <c r="AE268" s="295"/>
      <c r="AF268" s="296"/>
      <c r="AG268" s="262" t="s">
        <v>706</v>
      </c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1"/>
      <c r="AW268" s="262"/>
      <c r="AX268" s="90"/>
      <c r="AY268" s="90"/>
      <c r="AZ268" s="90"/>
      <c r="BA268" s="90"/>
      <c r="BB268" s="90"/>
      <c r="BC268" s="90"/>
      <c r="BD268" s="91"/>
      <c r="BE268" s="262"/>
      <c r="BF268" s="90"/>
      <c r="BG268" s="90"/>
      <c r="BH268" s="90"/>
      <c r="BI268" s="90"/>
      <c r="BJ268" s="90"/>
      <c r="BK268" s="90"/>
      <c r="BL268" s="91"/>
      <c r="BM268" s="262" t="s">
        <v>219</v>
      </c>
      <c r="BN268" s="90"/>
      <c r="BO268" s="90"/>
      <c r="BP268" s="90"/>
      <c r="BQ268" s="90"/>
      <c r="BR268" s="90"/>
      <c r="BS268" s="90"/>
      <c r="BT268" s="91"/>
      <c r="BU268" s="262" t="s">
        <v>220</v>
      </c>
      <c r="BV268" s="90"/>
      <c r="BW268" s="90"/>
      <c r="BX268" s="90"/>
      <c r="BY268" s="90"/>
      <c r="BZ268" s="90"/>
      <c r="CA268" s="90"/>
      <c r="CB268" s="91"/>
      <c r="CC268" s="262" t="s">
        <v>719</v>
      </c>
      <c r="CD268" s="90"/>
      <c r="CE268" s="90"/>
      <c r="CF268" s="90"/>
      <c r="CG268" s="90"/>
      <c r="CH268" s="90"/>
      <c r="CI268" s="90"/>
      <c r="CJ268" s="91"/>
      <c r="CK268" s="262"/>
      <c r="CL268" s="90"/>
      <c r="CM268" s="90"/>
      <c r="CN268" s="90"/>
      <c r="CO268" s="90"/>
      <c r="CP268" s="90"/>
      <c r="CQ268" s="90"/>
      <c r="CR268" s="91"/>
      <c r="CS268" s="271" t="s">
        <v>206</v>
      </c>
      <c r="CT268" s="272"/>
      <c r="CU268" s="298">
        <v>941.6</v>
      </c>
      <c r="CV268" s="298"/>
      <c r="CW268" s="298"/>
      <c r="CX268" s="298"/>
      <c r="CY268" s="298"/>
      <c r="CZ268" s="299"/>
      <c r="DA268" s="274" t="s">
        <v>206</v>
      </c>
      <c r="DB268" s="275"/>
      <c r="DC268" s="275">
        <f t="shared" si="8"/>
        <v>941.6</v>
      </c>
      <c r="DD268" s="275"/>
      <c r="DE268" s="275"/>
      <c r="DF268" s="275"/>
      <c r="DG268" s="275"/>
      <c r="DH268" s="275"/>
      <c r="DI268" s="276"/>
      <c r="DJ268" s="262" t="s">
        <v>305</v>
      </c>
      <c r="DK268" s="90"/>
      <c r="DL268" s="90"/>
      <c r="DM268" s="90"/>
      <c r="DN268" s="90"/>
      <c r="DO268" s="90"/>
      <c r="DP268" s="90"/>
      <c r="DQ268" s="90"/>
      <c r="DR268" s="90"/>
      <c r="DS268" s="90"/>
      <c r="DT268" s="263"/>
    </row>
    <row r="269" spans="1:124">
      <c r="A269" s="288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90"/>
      <c r="N269" s="262" t="s">
        <v>689</v>
      </c>
      <c r="O269" s="90"/>
      <c r="P269" s="90"/>
      <c r="Q269" s="90"/>
      <c r="R269" s="90"/>
      <c r="S269" s="90"/>
      <c r="T269" s="90"/>
      <c r="U269" s="91"/>
      <c r="V269" s="305" t="s">
        <v>249</v>
      </c>
      <c r="W269" s="102"/>
      <c r="X269" s="102"/>
      <c r="Y269" s="102"/>
      <c r="Z269" s="102"/>
      <c r="AA269" s="103"/>
      <c r="AB269" s="291" t="s">
        <v>252</v>
      </c>
      <c r="AC269" s="295"/>
      <c r="AD269" s="295"/>
      <c r="AE269" s="295"/>
      <c r="AF269" s="296"/>
      <c r="AG269" s="262" t="s">
        <v>707</v>
      </c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1"/>
      <c r="AW269" s="262" t="s">
        <v>712</v>
      </c>
      <c r="AX269" s="90"/>
      <c r="AY269" s="90"/>
      <c r="AZ269" s="90"/>
      <c r="BA269" s="90"/>
      <c r="BB269" s="90"/>
      <c r="BC269" s="90"/>
      <c r="BD269" s="91"/>
      <c r="BE269" s="262"/>
      <c r="BF269" s="90"/>
      <c r="BG269" s="90"/>
      <c r="BH269" s="90"/>
      <c r="BI269" s="90"/>
      <c r="BJ269" s="90"/>
      <c r="BK269" s="90"/>
      <c r="BL269" s="91"/>
      <c r="BM269" s="262" t="s">
        <v>288</v>
      </c>
      <c r="BN269" s="90"/>
      <c r="BO269" s="90"/>
      <c r="BP269" s="90"/>
      <c r="BQ269" s="90"/>
      <c r="BR269" s="90"/>
      <c r="BS269" s="90"/>
      <c r="BT269" s="91"/>
      <c r="BU269" s="262" t="s">
        <v>297</v>
      </c>
      <c r="BV269" s="90"/>
      <c r="BW269" s="90"/>
      <c r="BX269" s="90"/>
      <c r="BY269" s="90"/>
      <c r="BZ269" s="90"/>
      <c r="CA269" s="90"/>
      <c r="CB269" s="91"/>
      <c r="CC269" s="262" t="s">
        <v>524</v>
      </c>
      <c r="CD269" s="90"/>
      <c r="CE269" s="90"/>
      <c r="CF269" s="90"/>
      <c r="CG269" s="90"/>
      <c r="CH269" s="90"/>
      <c r="CI269" s="90"/>
      <c r="CJ269" s="91"/>
      <c r="CK269" s="262"/>
      <c r="CL269" s="90"/>
      <c r="CM269" s="90"/>
      <c r="CN269" s="90"/>
      <c r="CO269" s="90"/>
      <c r="CP269" s="90"/>
      <c r="CQ269" s="90"/>
      <c r="CR269" s="91"/>
      <c r="CS269" s="271" t="s">
        <v>206</v>
      </c>
      <c r="CT269" s="272"/>
      <c r="CU269" s="298">
        <v>32</v>
      </c>
      <c r="CV269" s="298"/>
      <c r="CW269" s="298"/>
      <c r="CX269" s="298"/>
      <c r="CY269" s="298"/>
      <c r="CZ269" s="299"/>
      <c r="DA269" s="274" t="s">
        <v>206</v>
      </c>
      <c r="DB269" s="275"/>
      <c r="DC269" s="275">
        <f t="shared" si="8"/>
        <v>32</v>
      </c>
      <c r="DD269" s="275"/>
      <c r="DE269" s="275"/>
      <c r="DF269" s="275"/>
      <c r="DG269" s="275"/>
      <c r="DH269" s="275"/>
      <c r="DI269" s="276"/>
      <c r="DJ269" s="350" t="s">
        <v>393</v>
      </c>
      <c r="DK269" s="351"/>
      <c r="DL269" s="351"/>
      <c r="DM269" s="351"/>
      <c r="DN269" s="351"/>
      <c r="DO269" s="351"/>
      <c r="DP269" s="351"/>
      <c r="DQ269" s="351"/>
      <c r="DR269" s="351"/>
      <c r="DS269" s="351"/>
      <c r="DT269" s="352"/>
    </row>
    <row r="270" spans="1:124">
      <c r="A270" s="304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85" t="s">
        <v>690</v>
      </c>
      <c r="O270" s="286"/>
      <c r="P270" s="286"/>
      <c r="Q270" s="286"/>
      <c r="R270" s="286"/>
      <c r="S270" s="286"/>
      <c r="T270" s="286"/>
      <c r="U270" s="286"/>
      <c r="V270" s="305" t="s">
        <v>249</v>
      </c>
      <c r="W270" s="102"/>
      <c r="X270" s="102"/>
      <c r="Y270" s="102"/>
      <c r="Z270" s="102"/>
      <c r="AA270" s="103"/>
      <c r="AB270" s="312" t="s">
        <v>252</v>
      </c>
      <c r="AC270" s="313"/>
      <c r="AD270" s="313"/>
      <c r="AE270" s="313"/>
      <c r="AF270" s="313"/>
      <c r="AG270" s="285" t="s">
        <v>704</v>
      </c>
      <c r="AH270" s="286"/>
      <c r="AI270" s="286"/>
      <c r="AJ270" s="286"/>
      <c r="AK270" s="286"/>
      <c r="AL270" s="286"/>
      <c r="AM270" s="286"/>
      <c r="AN270" s="286"/>
      <c r="AO270" s="286"/>
      <c r="AP270" s="286"/>
      <c r="AQ270" s="286"/>
      <c r="AR270" s="286"/>
      <c r="AS270" s="286"/>
      <c r="AT270" s="286"/>
      <c r="AU270" s="286"/>
      <c r="AV270" s="286"/>
      <c r="AW270" s="285" t="s">
        <v>713</v>
      </c>
      <c r="AX270" s="286"/>
      <c r="AY270" s="286"/>
      <c r="AZ270" s="286"/>
      <c r="BA270" s="286"/>
      <c r="BB270" s="286"/>
      <c r="BC270" s="286"/>
      <c r="BD270" s="286"/>
      <c r="BE270" s="285"/>
      <c r="BF270" s="286"/>
      <c r="BG270" s="286"/>
      <c r="BH270" s="286"/>
      <c r="BI270" s="286"/>
      <c r="BJ270" s="286"/>
      <c r="BK270" s="286"/>
      <c r="BL270" s="286"/>
      <c r="BM270" s="262" t="s">
        <v>589</v>
      </c>
      <c r="BN270" s="90"/>
      <c r="BO270" s="90"/>
      <c r="BP270" s="90"/>
      <c r="BQ270" s="90"/>
      <c r="BR270" s="90"/>
      <c r="BS270" s="90"/>
      <c r="BT270" s="91"/>
      <c r="BU270" s="262"/>
      <c r="BV270" s="90"/>
      <c r="BW270" s="90"/>
      <c r="BX270" s="90"/>
      <c r="BY270" s="90"/>
      <c r="BZ270" s="90"/>
      <c r="CA270" s="90"/>
      <c r="CB270" s="91"/>
      <c r="CC270" s="285" t="s">
        <v>718</v>
      </c>
      <c r="CD270" s="286"/>
      <c r="CE270" s="286"/>
      <c r="CF270" s="286"/>
      <c r="CG270" s="286"/>
      <c r="CH270" s="286"/>
      <c r="CI270" s="286"/>
      <c r="CJ270" s="286"/>
      <c r="CK270" s="262"/>
      <c r="CL270" s="90"/>
      <c r="CM270" s="90"/>
      <c r="CN270" s="90"/>
      <c r="CO270" s="90"/>
      <c r="CP270" s="90"/>
      <c r="CQ270" s="90"/>
      <c r="CR270" s="91"/>
      <c r="CS270" s="271" t="s">
        <v>206</v>
      </c>
      <c r="CT270" s="272"/>
      <c r="CU270" s="298">
        <v>28</v>
      </c>
      <c r="CV270" s="298"/>
      <c r="CW270" s="298"/>
      <c r="CX270" s="298"/>
      <c r="CY270" s="298"/>
      <c r="CZ270" s="299"/>
      <c r="DA270" s="274" t="s">
        <v>206</v>
      </c>
      <c r="DB270" s="275"/>
      <c r="DC270" s="275">
        <f t="shared" si="8"/>
        <v>28</v>
      </c>
      <c r="DD270" s="275"/>
      <c r="DE270" s="275"/>
      <c r="DF270" s="275"/>
      <c r="DG270" s="275"/>
      <c r="DH270" s="275"/>
      <c r="DI270" s="276"/>
      <c r="DJ270" s="344" t="s">
        <v>393</v>
      </c>
      <c r="DK270" s="344"/>
      <c r="DL270" s="344"/>
      <c r="DM270" s="344"/>
      <c r="DN270" s="344"/>
      <c r="DO270" s="344"/>
      <c r="DP270" s="344"/>
      <c r="DQ270" s="344"/>
      <c r="DR270" s="344"/>
      <c r="DS270" s="344"/>
      <c r="DT270" s="345"/>
    </row>
    <row r="271" spans="1:124">
      <c r="A271" s="304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85" t="s">
        <v>691</v>
      </c>
      <c r="O271" s="286"/>
      <c r="P271" s="286"/>
      <c r="Q271" s="286"/>
      <c r="R271" s="286"/>
      <c r="S271" s="286"/>
      <c r="T271" s="286"/>
      <c r="U271" s="286"/>
      <c r="V271" s="305" t="s">
        <v>249</v>
      </c>
      <c r="W271" s="102"/>
      <c r="X271" s="102"/>
      <c r="Y271" s="102"/>
      <c r="Z271" s="102"/>
      <c r="AA271" s="103"/>
      <c r="AB271" s="312" t="s">
        <v>252</v>
      </c>
      <c r="AC271" s="313"/>
      <c r="AD271" s="313"/>
      <c r="AE271" s="313"/>
      <c r="AF271" s="313"/>
      <c r="AG271" s="285" t="s">
        <v>708</v>
      </c>
      <c r="AH271" s="286"/>
      <c r="AI271" s="286"/>
      <c r="AJ271" s="286"/>
      <c r="AK271" s="286"/>
      <c r="AL271" s="286"/>
      <c r="AM271" s="286"/>
      <c r="AN271" s="286"/>
      <c r="AO271" s="286"/>
      <c r="AP271" s="286"/>
      <c r="AQ271" s="286"/>
      <c r="AR271" s="286"/>
      <c r="AS271" s="286"/>
      <c r="AT271" s="286"/>
      <c r="AU271" s="286"/>
      <c r="AV271" s="286"/>
      <c r="AW271" s="286"/>
      <c r="AX271" s="286"/>
      <c r="AY271" s="286"/>
      <c r="AZ271" s="286"/>
      <c r="BA271" s="286"/>
      <c r="BB271" s="286"/>
      <c r="BC271" s="286"/>
      <c r="BD271" s="286"/>
      <c r="BE271" s="286"/>
      <c r="BF271" s="286"/>
      <c r="BG271" s="286"/>
      <c r="BH271" s="286"/>
      <c r="BI271" s="286"/>
      <c r="BJ271" s="286"/>
      <c r="BK271" s="286"/>
      <c r="BL271" s="286"/>
      <c r="BM271" s="285" t="s">
        <v>522</v>
      </c>
      <c r="BN271" s="286"/>
      <c r="BO271" s="286"/>
      <c r="BP271" s="286"/>
      <c r="BQ271" s="286"/>
      <c r="BR271" s="286"/>
      <c r="BS271" s="286"/>
      <c r="BT271" s="286"/>
      <c r="BU271" s="262" t="s">
        <v>297</v>
      </c>
      <c r="BV271" s="90"/>
      <c r="BW271" s="90"/>
      <c r="BX271" s="90"/>
      <c r="BY271" s="90"/>
      <c r="BZ271" s="90"/>
      <c r="CA271" s="90"/>
      <c r="CB271" s="91"/>
      <c r="CC271" s="285" t="s">
        <v>717</v>
      </c>
      <c r="CD271" s="286"/>
      <c r="CE271" s="286"/>
      <c r="CF271" s="286"/>
      <c r="CG271" s="286"/>
      <c r="CH271" s="286"/>
      <c r="CI271" s="286"/>
      <c r="CJ271" s="286"/>
      <c r="CK271" s="286"/>
      <c r="CL271" s="286"/>
      <c r="CM271" s="286"/>
      <c r="CN271" s="286"/>
      <c r="CO271" s="286"/>
      <c r="CP271" s="286"/>
      <c r="CQ271" s="286"/>
      <c r="CR271" s="286"/>
      <c r="CS271" s="271" t="s">
        <v>206</v>
      </c>
      <c r="CT271" s="272"/>
      <c r="CU271" s="298">
        <v>1700</v>
      </c>
      <c r="CV271" s="298"/>
      <c r="CW271" s="298"/>
      <c r="CX271" s="298"/>
      <c r="CY271" s="298"/>
      <c r="CZ271" s="299"/>
      <c r="DA271" s="274" t="s">
        <v>206</v>
      </c>
      <c r="DB271" s="275"/>
      <c r="DC271" s="275">
        <f t="shared" si="8"/>
        <v>1700</v>
      </c>
      <c r="DD271" s="275"/>
      <c r="DE271" s="275"/>
      <c r="DF271" s="275"/>
      <c r="DG271" s="275"/>
      <c r="DH271" s="275"/>
      <c r="DI271" s="276"/>
      <c r="DJ271" s="285" t="s">
        <v>305</v>
      </c>
      <c r="DK271" s="286"/>
      <c r="DL271" s="286"/>
      <c r="DM271" s="286"/>
      <c r="DN271" s="286"/>
      <c r="DO271" s="286"/>
      <c r="DP271" s="286"/>
      <c r="DQ271" s="286"/>
      <c r="DR271" s="286"/>
      <c r="DS271" s="286"/>
      <c r="DT271" s="287"/>
    </row>
    <row r="272" spans="1:124">
      <c r="A272" s="304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85" t="s">
        <v>692</v>
      </c>
      <c r="O272" s="286"/>
      <c r="P272" s="286"/>
      <c r="Q272" s="286"/>
      <c r="R272" s="286"/>
      <c r="S272" s="286"/>
      <c r="T272" s="286"/>
      <c r="U272" s="286"/>
      <c r="V272" s="317" t="s">
        <v>249</v>
      </c>
      <c r="W272" s="102"/>
      <c r="X272" s="102"/>
      <c r="Y272" s="102"/>
      <c r="Z272" s="102"/>
      <c r="AA272" s="103"/>
      <c r="AB272" s="312" t="s">
        <v>252</v>
      </c>
      <c r="AC272" s="313"/>
      <c r="AD272" s="313"/>
      <c r="AE272" s="313"/>
      <c r="AF272" s="313"/>
      <c r="AG272" s="285" t="s">
        <v>706</v>
      </c>
      <c r="AH272" s="286"/>
      <c r="AI272" s="286"/>
      <c r="AJ272" s="286"/>
      <c r="AK272" s="286"/>
      <c r="AL272" s="286"/>
      <c r="AM272" s="286"/>
      <c r="AN272" s="286"/>
      <c r="AO272" s="286"/>
      <c r="AP272" s="286"/>
      <c r="AQ272" s="286"/>
      <c r="AR272" s="286"/>
      <c r="AS272" s="286"/>
      <c r="AT272" s="286"/>
      <c r="AU272" s="286"/>
      <c r="AV272" s="286"/>
      <c r="AW272" s="285"/>
      <c r="AX272" s="286"/>
      <c r="AY272" s="286"/>
      <c r="AZ272" s="286"/>
      <c r="BA272" s="286"/>
      <c r="BB272" s="286"/>
      <c r="BC272" s="286"/>
      <c r="BD272" s="286"/>
      <c r="BE272" s="286"/>
      <c r="BF272" s="286"/>
      <c r="BG272" s="286"/>
      <c r="BH272" s="286"/>
      <c r="BI272" s="286"/>
      <c r="BJ272" s="286"/>
      <c r="BK272" s="286"/>
      <c r="BL272" s="286"/>
      <c r="BM272" s="285" t="s">
        <v>219</v>
      </c>
      <c r="BN272" s="286"/>
      <c r="BO272" s="286"/>
      <c r="BP272" s="286"/>
      <c r="BQ272" s="286"/>
      <c r="BR272" s="286"/>
      <c r="BS272" s="286"/>
      <c r="BT272" s="286"/>
      <c r="BU272" s="285" t="s">
        <v>220</v>
      </c>
      <c r="BV272" s="286"/>
      <c r="BW272" s="286"/>
      <c r="BX272" s="286"/>
      <c r="BY272" s="286"/>
      <c r="BZ272" s="286"/>
      <c r="CA272" s="286"/>
      <c r="CB272" s="286"/>
      <c r="CC272" s="285" t="s">
        <v>716</v>
      </c>
      <c r="CD272" s="286"/>
      <c r="CE272" s="286"/>
      <c r="CF272" s="286"/>
      <c r="CG272" s="286"/>
      <c r="CH272" s="286"/>
      <c r="CI272" s="286"/>
      <c r="CJ272" s="286"/>
      <c r="CK272" s="286"/>
      <c r="CL272" s="286"/>
      <c r="CM272" s="286"/>
      <c r="CN272" s="286"/>
      <c r="CO272" s="286"/>
      <c r="CP272" s="286"/>
      <c r="CQ272" s="286"/>
      <c r="CR272" s="286"/>
      <c r="CS272" s="271" t="s">
        <v>206</v>
      </c>
      <c r="CT272" s="272"/>
      <c r="CU272" s="298">
        <v>669.5</v>
      </c>
      <c r="CV272" s="298"/>
      <c r="CW272" s="298"/>
      <c r="CX272" s="298"/>
      <c r="CY272" s="298"/>
      <c r="CZ272" s="299"/>
      <c r="DA272" s="274" t="s">
        <v>206</v>
      </c>
      <c r="DB272" s="275"/>
      <c r="DC272" s="275">
        <f t="shared" si="8"/>
        <v>669.5</v>
      </c>
      <c r="DD272" s="275"/>
      <c r="DE272" s="275"/>
      <c r="DF272" s="275"/>
      <c r="DG272" s="275"/>
      <c r="DH272" s="275"/>
      <c r="DI272" s="276"/>
      <c r="DJ272" s="285" t="s">
        <v>305</v>
      </c>
      <c r="DK272" s="286"/>
      <c r="DL272" s="286"/>
      <c r="DM272" s="286"/>
      <c r="DN272" s="286"/>
      <c r="DO272" s="286"/>
      <c r="DP272" s="286"/>
      <c r="DQ272" s="286"/>
      <c r="DR272" s="286"/>
      <c r="DS272" s="286"/>
      <c r="DT272" s="287"/>
    </row>
    <row r="273" spans="1:124">
      <c r="A273" s="304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85" t="s">
        <v>693</v>
      </c>
      <c r="O273" s="286"/>
      <c r="P273" s="286"/>
      <c r="Q273" s="286"/>
      <c r="R273" s="286"/>
      <c r="S273" s="286"/>
      <c r="T273" s="286"/>
      <c r="U273" s="286"/>
      <c r="V273" s="305" t="s">
        <v>249</v>
      </c>
      <c r="W273" s="102"/>
      <c r="X273" s="102"/>
      <c r="Y273" s="102"/>
      <c r="Z273" s="102"/>
      <c r="AA273" s="103"/>
      <c r="AB273" s="312" t="s">
        <v>252</v>
      </c>
      <c r="AC273" s="313"/>
      <c r="AD273" s="313"/>
      <c r="AE273" s="313"/>
      <c r="AF273" s="313"/>
      <c r="AG273" s="285" t="s">
        <v>575</v>
      </c>
      <c r="AH273" s="286"/>
      <c r="AI273" s="286"/>
      <c r="AJ273" s="286"/>
      <c r="AK273" s="286"/>
      <c r="AL273" s="286"/>
      <c r="AM273" s="286"/>
      <c r="AN273" s="286"/>
      <c r="AO273" s="286"/>
      <c r="AP273" s="286"/>
      <c r="AQ273" s="286"/>
      <c r="AR273" s="286"/>
      <c r="AS273" s="286"/>
      <c r="AT273" s="286"/>
      <c r="AU273" s="286"/>
      <c r="AV273" s="286"/>
      <c r="AW273" s="285" t="s">
        <v>584</v>
      </c>
      <c r="AX273" s="286"/>
      <c r="AY273" s="286"/>
      <c r="AZ273" s="286"/>
      <c r="BA273" s="286"/>
      <c r="BB273" s="286"/>
      <c r="BC273" s="286"/>
      <c r="BD273" s="286"/>
      <c r="BE273" s="286"/>
      <c r="BF273" s="286"/>
      <c r="BG273" s="286"/>
      <c r="BH273" s="286"/>
      <c r="BI273" s="286"/>
      <c r="BJ273" s="286"/>
      <c r="BK273" s="286"/>
      <c r="BL273" s="286"/>
      <c r="BM273" s="285" t="s">
        <v>522</v>
      </c>
      <c r="BN273" s="286"/>
      <c r="BO273" s="286"/>
      <c r="BP273" s="286"/>
      <c r="BQ273" s="286"/>
      <c r="BR273" s="286"/>
      <c r="BS273" s="286"/>
      <c r="BT273" s="286"/>
      <c r="BU273" s="285" t="s">
        <v>715</v>
      </c>
      <c r="BV273" s="286"/>
      <c r="BW273" s="286"/>
      <c r="BX273" s="286"/>
      <c r="BY273" s="286"/>
      <c r="BZ273" s="286"/>
      <c r="CA273" s="286"/>
      <c r="CB273" s="286"/>
      <c r="CC273" s="286"/>
      <c r="CD273" s="286"/>
      <c r="CE273" s="286"/>
      <c r="CF273" s="286"/>
      <c r="CG273" s="286"/>
      <c r="CH273" s="286"/>
      <c r="CI273" s="286"/>
      <c r="CJ273" s="286"/>
      <c r="CK273" s="284">
        <v>30004</v>
      </c>
      <c r="CL273" s="90"/>
      <c r="CM273" s="90"/>
      <c r="CN273" s="90"/>
      <c r="CO273" s="90"/>
      <c r="CP273" s="90"/>
      <c r="CQ273" s="90"/>
      <c r="CR273" s="91"/>
      <c r="CS273" s="271" t="s">
        <v>206</v>
      </c>
      <c r="CT273" s="272"/>
      <c r="CU273" s="298">
        <v>4100</v>
      </c>
      <c r="CV273" s="298"/>
      <c r="CW273" s="298"/>
      <c r="CX273" s="298"/>
      <c r="CY273" s="298"/>
      <c r="CZ273" s="299"/>
      <c r="DA273" s="274" t="s">
        <v>206</v>
      </c>
      <c r="DB273" s="275"/>
      <c r="DC273" s="275">
        <f t="shared" si="8"/>
        <v>4100</v>
      </c>
      <c r="DD273" s="275"/>
      <c r="DE273" s="275"/>
      <c r="DF273" s="275"/>
      <c r="DG273" s="275"/>
      <c r="DH273" s="275"/>
      <c r="DI273" s="276"/>
      <c r="DJ273" s="285" t="s">
        <v>305</v>
      </c>
      <c r="DK273" s="286"/>
      <c r="DL273" s="286"/>
      <c r="DM273" s="286"/>
      <c r="DN273" s="286"/>
      <c r="DO273" s="286"/>
      <c r="DP273" s="286"/>
      <c r="DQ273" s="286"/>
      <c r="DR273" s="286"/>
      <c r="DS273" s="286"/>
      <c r="DT273" s="287"/>
    </row>
    <row r="274" spans="1:124">
      <c r="A274" s="304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85" t="s">
        <v>694</v>
      </c>
      <c r="O274" s="286"/>
      <c r="P274" s="286"/>
      <c r="Q274" s="286"/>
      <c r="R274" s="286"/>
      <c r="S274" s="286"/>
      <c r="T274" s="286"/>
      <c r="U274" s="286"/>
      <c r="V274" s="305" t="s">
        <v>249</v>
      </c>
      <c r="W274" s="102"/>
      <c r="X274" s="102"/>
      <c r="Y274" s="102"/>
      <c r="Z274" s="102"/>
      <c r="AA274" s="103"/>
      <c r="AB274" s="312" t="s">
        <v>252</v>
      </c>
      <c r="AC274" s="313"/>
      <c r="AD274" s="313"/>
      <c r="AE274" s="313"/>
      <c r="AF274" s="313"/>
      <c r="AG274" s="285" t="s">
        <v>575</v>
      </c>
      <c r="AH274" s="286"/>
      <c r="AI274" s="286"/>
      <c r="AJ274" s="286"/>
      <c r="AK274" s="286"/>
      <c r="AL274" s="286"/>
      <c r="AM274" s="286"/>
      <c r="AN274" s="286"/>
      <c r="AO274" s="286"/>
      <c r="AP274" s="286"/>
      <c r="AQ274" s="286"/>
      <c r="AR274" s="286"/>
      <c r="AS274" s="286"/>
      <c r="AT274" s="286"/>
      <c r="AU274" s="286"/>
      <c r="AV274" s="286"/>
      <c r="AW274" s="285" t="s">
        <v>584</v>
      </c>
      <c r="AX274" s="286"/>
      <c r="AY274" s="286"/>
      <c r="AZ274" s="286"/>
      <c r="BA274" s="286"/>
      <c r="BB274" s="286"/>
      <c r="BC274" s="286"/>
      <c r="BD274" s="286"/>
      <c r="BE274" s="285"/>
      <c r="BF274" s="286"/>
      <c r="BG274" s="286"/>
      <c r="BH274" s="286"/>
      <c r="BI274" s="286"/>
      <c r="BJ274" s="286"/>
      <c r="BK274" s="286"/>
      <c r="BL274" s="286"/>
      <c r="BM274" s="285" t="s">
        <v>522</v>
      </c>
      <c r="BN274" s="286"/>
      <c r="BO274" s="286"/>
      <c r="BP274" s="286"/>
      <c r="BQ274" s="286"/>
      <c r="BR274" s="286"/>
      <c r="BS274" s="286"/>
      <c r="BT274" s="286"/>
      <c r="BU274" s="285" t="s">
        <v>715</v>
      </c>
      <c r="BV274" s="286"/>
      <c r="BW274" s="286"/>
      <c r="BX274" s="286"/>
      <c r="BY274" s="286"/>
      <c r="BZ274" s="286"/>
      <c r="CA274" s="286"/>
      <c r="CB274" s="286"/>
      <c r="CC274" s="286"/>
      <c r="CD274" s="286"/>
      <c r="CE274" s="286"/>
      <c r="CF274" s="286"/>
      <c r="CG274" s="286"/>
      <c r="CH274" s="286"/>
      <c r="CI274" s="286"/>
      <c r="CJ274" s="286"/>
      <c r="CK274" s="286">
        <v>30005</v>
      </c>
      <c r="CL274" s="286"/>
      <c r="CM274" s="286"/>
      <c r="CN274" s="286"/>
      <c r="CO274" s="286"/>
      <c r="CP274" s="286"/>
      <c r="CQ274" s="286"/>
      <c r="CR274" s="286"/>
      <c r="CS274" s="271" t="s">
        <v>206</v>
      </c>
      <c r="CT274" s="272"/>
      <c r="CU274" s="298">
        <v>4100</v>
      </c>
      <c r="CV274" s="298"/>
      <c r="CW274" s="298"/>
      <c r="CX274" s="298"/>
      <c r="CY274" s="298"/>
      <c r="CZ274" s="299"/>
      <c r="DA274" s="274" t="s">
        <v>206</v>
      </c>
      <c r="DB274" s="275"/>
      <c r="DC274" s="275">
        <f t="shared" si="8"/>
        <v>4100</v>
      </c>
      <c r="DD274" s="275"/>
      <c r="DE274" s="275"/>
      <c r="DF274" s="275"/>
      <c r="DG274" s="275"/>
      <c r="DH274" s="275"/>
      <c r="DI274" s="276"/>
      <c r="DJ274" s="285" t="s">
        <v>305</v>
      </c>
      <c r="DK274" s="286"/>
      <c r="DL274" s="286"/>
      <c r="DM274" s="286"/>
      <c r="DN274" s="286"/>
      <c r="DO274" s="286"/>
      <c r="DP274" s="286"/>
      <c r="DQ274" s="286"/>
      <c r="DR274" s="286"/>
      <c r="DS274" s="286"/>
      <c r="DT274" s="287"/>
    </row>
    <row r="275" spans="1:124" ht="15" thickBot="1">
      <c r="A275" s="331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21" t="s">
        <v>695</v>
      </c>
      <c r="O275" s="322"/>
      <c r="P275" s="322"/>
      <c r="Q275" s="322"/>
      <c r="R275" s="322"/>
      <c r="S275" s="322"/>
      <c r="T275" s="322"/>
      <c r="U275" s="322"/>
      <c r="V275" s="305" t="s">
        <v>497</v>
      </c>
      <c r="W275" s="102"/>
      <c r="X275" s="102"/>
      <c r="Y275" s="102"/>
      <c r="Z275" s="102"/>
      <c r="AA275" s="103"/>
      <c r="AB275" s="312" t="s">
        <v>217</v>
      </c>
      <c r="AC275" s="313"/>
      <c r="AD275" s="313"/>
      <c r="AE275" s="313"/>
      <c r="AF275" s="313"/>
      <c r="AG275" s="321" t="s">
        <v>709</v>
      </c>
      <c r="AH275" s="322"/>
      <c r="AI275" s="322"/>
      <c r="AJ275" s="322"/>
      <c r="AK275" s="322"/>
      <c r="AL275" s="322"/>
      <c r="AM275" s="322"/>
      <c r="AN275" s="322"/>
      <c r="AO275" s="322"/>
      <c r="AP275" s="322"/>
      <c r="AQ275" s="322"/>
      <c r="AR275" s="322"/>
      <c r="AS275" s="322"/>
      <c r="AT275" s="322"/>
      <c r="AU275" s="322"/>
      <c r="AV275" s="322"/>
      <c r="AW275" s="322"/>
      <c r="AX275" s="322"/>
      <c r="AY275" s="322"/>
      <c r="AZ275" s="322"/>
      <c r="BA275" s="322"/>
      <c r="BB275" s="322"/>
      <c r="BC275" s="322"/>
      <c r="BD275" s="322"/>
      <c r="BE275" s="321"/>
      <c r="BF275" s="322"/>
      <c r="BG275" s="322"/>
      <c r="BH275" s="322"/>
      <c r="BI275" s="322"/>
      <c r="BJ275" s="322"/>
      <c r="BK275" s="322"/>
      <c r="BL275" s="322"/>
      <c r="BM275" s="321" t="s">
        <v>219</v>
      </c>
      <c r="BN275" s="322"/>
      <c r="BO275" s="322"/>
      <c r="BP275" s="322"/>
      <c r="BQ275" s="322"/>
      <c r="BR275" s="322"/>
      <c r="BS275" s="322"/>
      <c r="BT275" s="322"/>
      <c r="BU275" s="321" t="s">
        <v>220</v>
      </c>
      <c r="BV275" s="322"/>
      <c r="BW275" s="322"/>
      <c r="BX275" s="322"/>
      <c r="BY275" s="322"/>
      <c r="BZ275" s="322"/>
      <c r="CA275" s="322"/>
      <c r="CB275" s="322"/>
      <c r="CC275" s="321" t="s">
        <v>716</v>
      </c>
      <c r="CD275" s="322"/>
      <c r="CE275" s="322"/>
      <c r="CF275" s="322"/>
      <c r="CG275" s="322"/>
      <c r="CH275" s="322"/>
      <c r="CI275" s="322"/>
      <c r="CJ275" s="322"/>
      <c r="CK275" s="322"/>
      <c r="CL275" s="322"/>
      <c r="CM275" s="322"/>
      <c r="CN275" s="322"/>
      <c r="CO275" s="322"/>
      <c r="CP275" s="322"/>
      <c r="CQ275" s="322"/>
      <c r="CR275" s="322"/>
      <c r="CS275" s="271" t="s">
        <v>206</v>
      </c>
      <c r="CT275" s="272"/>
      <c r="CU275" s="298">
        <v>1339</v>
      </c>
      <c r="CV275" s="298"/>
      <c r="CW275" s="298"/>
      <c r="CX275" s="298"/>
      <c r="CY275" s="298"/>
      <c r="CZ275" s="299"/>
      <c r="DA275" s="274" t="s">
        <v>206</v>
      </c>
      <c r="DB275" s="275"/>
      <c r="DC275" s="275">
        <f t="shared" si="8"/>
        <v>2678</v>
      </c>
      <c r="DD275" s="275"/>
      <c r="DE275" s="275"/>
      <c r="DF275" s="275"/>
      <c r="DG275" s="275"/>
      <c r="DH275" s="275"/>
      <c r="DI275" s="276"/>
      <c r="DJ275" s="285" t="s">
        <v>305</v>
      </c>
      <c r="DK275" s="286"/>
      <c r="DL275" s="286"/>
      <c r="DM275" s="286"/>
      <c r="DN275" s="286"/>
      <c r="DO275" s="286"/>
      <c r="DP275" s="286"/>
      <c r="DQ275" s="286"/>
      <c r="DR275" s="286"/>
      <c r="DS275" s="286"/>
      <c r="DT275" s="287"/>
    </row>
    <row r="276" spans="1:124" ht="21.6" thickBot="1">
      <c r="A276" s="3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323" t="s">
        <v>82</v>
      </c>
      <c r="Q276" s="323"/>
      <c r="R276" s="323"/>
      <c r="S276" s="323"/>
      <c r="T276" s="323"/>
      <c r="U276" s="323"/>
      <c r="V276" s="323"/>
      <c r="W276" s="323"/>
      <c r="X276" s="323"/>
      <c r="Y276" s="323"/>
      <c r="Z276" s="323"/>
      <c r="AA276" s="323"/>
      <c r="AB276" s="323"/>
      <c r="AC276" s="323"/>
      <c r="AD276" s="323"/>
      <c r="AE276" s="323"/>
      <c r="AF276" s="323"/>
      <c r="AG276" s="323"/>
      <c r="AH276" s="323"/>
      <c r="AI276" s="323"/>
      <c r="AJ276" s="323"/>
      <c r="AK276" s="323"/>
      <c r="AL276" s="323"/>
      <c r="AM276" s="323"/>
      <c r="AN276" s="323"/>
      <c r="AO276" s="323"/>
      <c r="AP276" s="323"/>
      <c r="AQ276" s="323"/>
      <c r="AR276" s="323"/>
      <c r="AS276" s="323"/>
      <c r="AT276" s="323"/>
      <c r="AU276" s="323"/>
      <c r="AV276" s="323"/>
      <c r="AW276" s="323"/>
      <c r="AX276" s="323"/>
      <c r="AY276" s="323"/>
      <c r="AZ276" s="323"/>
      <c r="BA276" s="323"/>
      <c r="BB276" s="323"/>
      <c r="BC276" s="323"/>
      <c r="BD276" s="323"/>
      <c r="BE276" s="323"/>
      <c r="BF276" s="323"/>
      <c r="BG276" s="323"/>
      <c r="BH276" s="323"/>
      <c r="BI276" s="323"/>
      <c r="BJ276" s="323"/>
      <c r="BK276" s="323"/>
      <c r="BL276" s="323"/>
      <c r="BM276" s="323"/>
      <c r="BN276" s="323"/>
      <c r="BO276" s="323"/>
      <c r="BP276" s="323"/>
      <c r="BQ276" s="323"/>
      <c r="BR276" s="323"/>
      <c r="BS276" s="323"/>
      <c r="BT276" s="323"/>
      <c r="BU276" s="323"/>
      <c r="BV276" s="323"/>
      <c r="BW276" s="323"/>
      <c r="BX276" s="323"/>
      <c r="BY276" s="323"/>
      <c r="BZ276" s="323"/>
      <c r="CA276" s="323"/>
      <c r="CB276" s="323"/>
      <c r="CC276" s="323"/>
      <c r="CD276" s="323"/>
      <c r="CE276" s="323"/>
      <c r="CF276" s="323"/>
      <c r="CG276" s="323"/>
      <c r="CH276" s="323"/>
      <c r="CI276" s="323"/>
      <c r="CJ276" s="323"/>
      <c r="CK276" s="323"/>
      <c r="CL276" s="323"/>
      <c r="CM276" s="323"/>
      <c r="CN276" s="323"/>
      <c r="CO276" s="323"/>
      <c r="CP276" s="323"/>
      <c r="CQ276" s="323"/>
      <c r="CR276" s="323"/>
      <c r="CS276" s="323"/>
      <c r="CT276" s="323"/>
      <c r="CU276" s="323"/>
      <c r="CV276" s="323"/>
      <c r="CW276" s="323"/>
      <c r="CX276" s="323"/>
      <c r="CY276" s="323"/>
      <c r="CZ276" s="14"/>
      <c r="DA276" s="327" t="s">
        <v>206</v>
      </c>
      <c r="DB276" s="328"/>
      <c r="DC276" s="329">
        <f>SUM(DA250:DI275)</f>
        <v>72344.100000000006</v>
      </c>
      <c r="DD276" s="329"/>
      <c r="DE276" s="329"/>
      <c r="DF276" s="329"/>
      <c r="DG276" s="329"/>
      <c r="DH276" s="329"/>
      <c r="DI276" s="329"/>
      <c r="DJ276" s="329"/>
      <c r="DK276" s="329"/>
      <c r="DL276" s="329"/>
      <c r="DM276" s="329"/>
      <c r="DN276" s="329"/>
      <c r="DO276" s="329"/>
      <c r="DP276" s="329"/>
      <c r="DQ276" s="329"/>
      <c r="DR276" s="329"/>
      <c r="DS276" s="329"/>
      <c r="DT276" s="330"/>
    </row>
    <row r="277" spans="1:124" ht="20.39999999999999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324" t="s">
        <v>83</v>
      </c>
      <c r="DK277" s="324"/>
      <c r="DL277" s="324"/>
      <c r="DM277" s="324"/>
      <c r="DN277" s="324"/>
      <c r="DO277" s="324"/>
      <c r="DP277" s="325" t="s">
        <v>398</v>
      </c>
      <c r="DQ277" s="326"/>
      <c r="DR277" s="326"/>
      <c r="DS277" s="326"/>
      <c r="DT277" s="1"/>
    </row>
    <row r="282" spans="1:124" ht="16.8">
      <c r="A282" s="232" t="s">
        <v>61</v>
      </c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</row>
    <row r="283" spans="1:124" ht="21">
      <c r="A283" s="233" t="s">
        <v>4</v>
      </c>
      <c r="B283" s="234"/>
      <c r="C283" s="234"/>
      <c r="D283" s="234"/>
      <c r="E283" s="234"/>
      <c r="F283" s="2"/>
      <c r="G283" s="235" t="s">
        <v>197</v>
      </c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  <c r="AA283" s="235"/>
      <c r="AB283" s="235"/>
      <c r="AC283" s="235"/>
      <c r="AD283" s="235"/>
      <c r="AE283" s="236"/>
      <c r="AF283" s="233" t="s">
        <v>5</v>
      </c>
      <c r="AG283" s="234"/>
      <c r="AH283" s="234"/>
      <c r="AI283" s="234"/>
      <c r="AJ283" s="234"/>
      <c r="AK283" s="234"/>
      <c r="AL283" s="2"/>
      <c r="AM283" s="235" t="s">
        <v>6</v>
      </c>
      <c r="AN283" s="235"/>
      <c r="AO283" s="235"/>
      <c r="AP283" s="235"/>
      <c r="AQ283" s="235"/>
      <c r="AR283" s="235"/>
      <c r="AS283" s="235"/>
      <c r="AT283" s="235"/>
      <c r="AU283" s="235"/>
      <c r="AV283" s="235"/>
      <c r="AW283" s="235"/>
      <c r="AX283" s="235"/>
      <c r="AY283" s="235"/>
      <c r="AZ283" s="235"/>
      <c r="BA283" s="235"/>
      <c r="BB283" s="235"/>
      <c r="BC283" s="235"/>
      <c r="BD283" s="235"/>
      <c r="BE283" s="235"/>
      <c r="BF283" s="235"/>
      <c r="BG283" s="236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233" t="s">
        <v>8</v>
      </c>
      <c r="BV283" s="234"/>
      <c r="BW283" s="234"/>
      <c r="BX283" s="234"/>
      <c r="BY283" s="234"/>
      <c r="BZ283" s="2"/>
      <c r="CA283" s="237">
        <v>1009</v>
      </c>
      <c r="CB283" s="235"/>
      <c r="CC283" s="235"/>
      <c r="CD283" s="235"/>
      <c r="CE283" s="235"/>
      <c r="CF283" s="235"/>
      <c r="CG283" s="235"/>
      <c r="CH283" s="235"/>
      <c r="CI283" s="236"/>
      <c r="CJ283" s="233" t="s">
        <v>9</v>
      </c>
      <c r="CK283" s="234"/>
      <c r="CL283" s="234"/>
      <c r="CM283" s="234"/>
      <c r="CN283" s="234"/>
      <c r="CO283" s="2"/>
      <c r="CP283" s="237" t="s">
        <v>214</v>
      </c>
      <c r="CQ283" s="235"/>
      <c r="CR283" s="235"/>
      <c r="CS283" s="235"/>
      <c r="CT283" s="235"/>
      <c r="CU283" s="235"/>
      <c r="CV283" s="235"/>
      <c r="CW283" s="235"/>
      <c r="CX283" s="236"/>
      <c r="CY283" s="1"/>
      <c r="CZ283" s="1"/>
      <c r="DA283" s="1"/>
      <c r="DB283" s="1"/>
      <c r="DC283" s="1"/>
      <c r="DD283" s="1"/>
      <c r="DE283" s="1"/>
      <c r="DF283" s="1"/>
      <c r="DG283" s="233" t="s">
        <v>62</v>
      </c>
      <c r="DH283" s="234"/>
      <c r="DI283" s="234"/>
      <c r="DJ283" s="234"/>
      <c r="DK283" s="234"/>
      <c r="DL283" s="2"/>
      <c r="DM283" s="235">
        <v>2024</v>
      </c>
      <c r="DN283" s="235"/>
      <c r="DO283" s="235"/>
      <c r="DP283" s="235"/>
      <c r="DQ283" s="235"/>
      <c r="DR283" s="235"/>
      <c r="DS283" s="235"/>
      <c r="DT283" s="236"/>
    </row>
    <row r="284" spans="1:124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</row>
    <row r="285" spans="1:124" ht="20.399999999999999">
      <c r="A285" s="238" t="s">
        <v>63</v>
      </c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239"/>
      <c r="AQ285" s="239"/>
      <c r="AR285" s="239"/>
      <c r="AS285" s="239"/>
      <c r="AT285" s="239"/>
      <c r="AU285" s="239"/>
      <c r="AV285" s="239"/>
      <c r="AW285" s="239"/>
      <c r="AX285" s="239"/>
      <c r="AY285" s="239"/>
      <c r="AZ285" s="239"/>
      <c r="BA285" s="239"/>
      <c r="BB285" s="239"/>
      <c r="BC285" s="239"/>
      <c r="BD285" s="239"/>
      <c r="BE285" s="239"/>
      <c r="BF285" s="239"/>
      <c r="BG285" s="239"/>
      <c r="BH285" s="239"/>
      <c r="BI285" s="239"/>
      <c r="BJ285" s="239"/>
      <c r="BK285" s="239"/>
      <c r="BL285" s="239"/>
      <c r="BM285" s="239"/>
      <c r="BN285" s="239"/>
      <c r="BO285" s="239"/>
      <c r="BP285" s="239"/>
      <c r="BQ285" s="239"/>
      <c r="BR285" s="239"/>
      <c r="BS285" s="239"/>
      <c r="BT285" s="239"/>
      <c r="BU285" s="239"/>
      <c r="BV285" s="239"/>
      <c r="BW285" s="239"/>
      <c r="BX285" s="239"/>
      <c r="BY285" s="239"/>
      <c r="BZ285" s="239"/>
      <c r="CA285" s="239"/>
      <c r="CB285" s="239"/>
      <c r="CC285" s="239"/>
      <c r="CD285" s="239"/>
      <c r="CE285" s="239"/>
      <c r="CF285" s="239"/>
      <c r="CG285" s="239"/>
      <c r="CH285" s="239"/>
      <c r="CI285" s="239"/>
      <c r="CJ285" s="239"/>
      <c r="CK285" s="239"/>
      <c r="CL285" s="239"/>
      <c r="CM285" s="239"/>
      <c r="CN285" s="239"/>
      <c r="CO285" s="239"/>
      <c r="CP285" s="239"/>
      <c r="CQ285" s="239"/>
      <c r="CR285" s="239"/>
      <c r="CS285" s="239"/>
      <c r="CT285" s="239"/>
      <c r="CU285" s="239"/>
      <c r="CV285" s="239"/>
      <c r="CW285" s="239"/>
      <c r="CX285" s="239"/>
      <c r="CY285" s="239"/>
      <c r="CZ285" s="239"/>
      <c r="DA285" s="239"/>
      <c r="DB285" s="239"/>
      <c r="DC285" s="239"/>
      <c r="DD285" s="239"/>
      <c r="DE285" s="239"/>
      <c r="DF285" s="239"/>
      <c r="DG285" s="239"/>
      <c r="DH285" s="239"/>
      <c r="DI285" s="239"/>
      <c r="DJ285" s="239"/>
      <c r="DK285" s="239"/>
      <c r="DL285" s="239"/>
      <c r="DM285" s="239"/>
      <c r="DN285" s="239"/>
      <c r="DO285" s="239"/>
      <c r="DP285" s="239"/>
      <c r="DQ285" s="239"/>
      <c r="DR285" s="239"/>
      <c r="DS285" s="239"/>
      <c r="DT285" s="240"/>
    </row>
    <row r="286" spans="1:124" ht="15" thickBot="1">
      <c r="A286" s="241" t="s">
        <v>64</v>
      </c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  <c r="AA286" s="242"/>
      <c r="AB286" s="242"/>
      <c r="AC286" s="242"/>
      <c r="AD286" s="242"/>
      <c r="AE286" s="242"/>
      <c r="AF286" s="242"/>
      <c r="AG286" s="242"/>
      <c r="AH286" s="242"/>
      <c r="AI286" s="242"/>
      <c r="AJ286" s="242"/>
      <c r="AK286" s="242"/>
      <c r="AL286" s="242"/>
      <c r="AM286" s="242"/>
      <c r="AN286" s="242"/>
      <c r="AO286" s="242"/>
      <c r="AP286" s="242"/>
      <c r="AQ286" s="242"/>
      <c r="AR286" s="242"/>
      <c r="AS286" s="242"/>
      <c r="AT286" s="242"/>
      <c r="AU286" s="242"/>
      <c r="AV286" s="242"/>
      <c r="AW286" s="242"/>
      <c r="AX286" s="242"/>
      <c r="AY286" s="242"/>
      <c r="AZ286" s="242"/>
      <c r="BA286" s="242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6"/>
    </row>
    <row r="287" spans="1:124" ht="15" thickBot="1"/>
    <row r="288" spans="1:124" ht="17.399999999999999">
      <c r="A288" s="243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4"/>
      <c r="M288" s="245"/>
      <c r="N288" s="246"/>
      <c r="O288" s="244"/>
      <c r="P288" s="244"/>
      <c r="Q288" s="244"/>
      <c r="R288" s="244"/>
      <c r="S288" s="244"/>
      <c r="T288" s="244"/>
      <c r="U288" s="245"/>
      <c r="V288" s="247" t="s">
        <v>65</v>
      </c>
      <c r="W288" s="248"/>
      <c r="X288" s="248"/>
      <c r="Y288" s="248"/>
      <c r="Z288" s="248"/>
      <c r="AA288" s="249"/>
      <c r="AB288" s="246"/>
      <c r="AC288" s="244"/>
      <c r="AD288" s="244"/>
      <c r="AE288" s="244"/>
      <c r="AF288" s="245"/>
      <c r="AG288" s="246"/>
      <c r="AH288" s="244"/>
      <c r="AI288" s="244"/>
      <c r="AJ288" s="244"/>
      <c r="AK288" s="244"/>
      <c r="AL288" s="244"/>
      <c r="AM288" s="244"/>
      <c r="AN288" s="244"/>
      <c r="AO288" s="244"/>
      <c r="AP288" s="244"/>
      <c r="AQ288" s="244"/>
      <c r="AR288" s="244"/>
      <c r="AS288" s="244"/>
      <c r="AT288" s="244"/>
      <c r="AU288" s="244"/>
      <c r="AV288" s="245"/>
      <c r="AW288" s="250" t="s">
        <v>66</v>
      </c>
      <c r="AX288" s="251"/>
      <c r="AY288" s="251"/>
      <c r="AZ288" s="251"/>
      <c r="BA288" s="251"/>
      <c r="BB288" s="251"/>
      <c r="BC288" s="251"/>
      <c r="BD288" s="251"/>
      <c r="BE288" s="251"/>
      <c r="BF288" s="251"/>
      <c r="BG288" s="251"/>
      <c r="BH288" s="251"/>
      <c r="BI288" s="251"/>
      <c r="BJ288" s="251"/>
      <c r="BK288" s="251"/>
      <c r="BL288" s="251"/>
      <c r="BM288" s="251"/>
      <c r="BN288" s="251"/>
      <c r="BO288" s="251"/>
      <c r="BP288" s="251"/>
      <c r="BQ288" s="251"/>
      <c r="BR288" s="251"/>
      <c r="BS288" s="251"/>
      <c r="BT288" s="251"/>
      <c r="BU288" s="251"/>
      <c r="BV288" s="251"/>
      <c r="BW288" s="251"/>
      <c r="BX288" s="251"/>
      <c r="BY288" s="251"/>
      <c r="BZ288" s="251"/>
      <c r="CA288" s="251"/>
      <c r="CB288" s="251"/>
      <c r="CC288" s="251"/>
      <c r="CD288" s="251"/>
      <c r="CE288" s="251"/>
      <c r="CF288" s="251"/>
      <c r="CG288" s="251"/>
      <c r="CH288" s="251"/>
      <c r="CI288" s="251"/>
      <c r="CJ288" s="251"/>
      <c r="CK288" s="251"/>
      <c r="CL288" s="251"/>
      <c r="CM288" s="251"/>
      <c r="CN288" s="251"/>
      <c r="CO288" s="251"/>
      <c r="CP288" s="251"/>
      <c r="CQ288" s="251"/>
      <c r="CR288" s="252"/>
      <c r="CS288" s="246"/>
      <c r="CT288" s="244"/>
      <c r="CU288" s="244"/>
      <c r="CV288" s="244"/>
      <c r="CW288" s="244"/>
      <c r="CX288" s="244"/>
      <c r="CY288" s="244"/>
      <c r="CZ288" s="245"/>
      <c r="DA288" s="246"/>
      <c r="DB288" s="244"/>
      <c r="DC288" s="244"/>
      <c r="DD288" s="244"/>
      <c r="DE288" s="244"/>
      <c r="DF288" s="244"/>
      <c r="DG288" s="244"/>
      <c r="DH288" s="244"/>
      <c r="DI288" s="245"/>
      <c r="DJ288" s="246"/>
      <c r="DK288" s="244"/>
      <c r="DL288" s="244"/>
      <c r="DM288" s="244"/>
      <c r="DN288" s="244"/>
      <c r="DO288" s="244"/>
      <c r="DP288" s="244"/>
      <c r="DQ288" s="244"/>
      <c r="DR288" s="244"/>
      <c r="DS288" s="244"/>
      <c r="DT288" s="253"/>
    </row>
    <row r="289" spans="1:124">
      <c r="A289" s="264" t="s">
        <v>67</v>
      </c>
      <c r="B289" s="257"/>
      <c r="C289" s="257"/>
      <c r="D289" s="257"/>
      <c r="E289" s="257"/>
      <c r="F289" s="257"/>
      <c r="G289" s="257"/>
      <c r="H289" s="257"/>
      <c r="I289" s="257"/>
      <c r="J289" s="257"/>
      <c r="K289" s="257"/>
      <c r="L289" s="257"/>
      <c r="M289" s="258"/>
      <c r="N289" s="256" t="s">
        <v>68</v>
      </c>
      <c r="O289" s="257"/>
      <c r="P289" s="257"/>
      <c r="Q289" s="257"/>
      <c r="R289" s="257"/>
      <c r="S289" s="257"/>
      <c r="T289" s="257"/>
      <c r="U289" s="258"/>
      <c r="V289" s="265" t="s">
        <v>69</v>
      </c>
      <c r="W289" s="266"/>
      <c r="X289" s="266"/>
      <c r="Y289" s="266"/>
      <c r="Z289" s="266"/>
      <c r="AA289" s="267"/>
      <c r="AB289" s="411" t="s">
        <v>70</v>
      </c>
      <c r="AC289" s="269"/>
      <c r="AD289" s="269"/>
      <c r="AE289" s="269"/>
      <c r="AF289" s="270"/>
      <c r="AG289" s="256" t="s">
        <v>71</v>
      </c>
      <c r="AH289" s="257"/>
      <c r="AI289" s="257"/>
      <c r="AJ289" s="257"/>
      <c r="AK289" s="257"/>
      <c r="AL289" s="257"/>
      <c r="AM289" s="257"/>
      <c r="AN289" s="257"/>
      <c r="AO289" s="257"/>
      <c r="AP289" s="257"/>
      <c r="AQ289" s="257"/>
      <c r="AR289" s="257"/>
      <c r="AS289" s="257"/>
      <c r="AT289" s="257"/>
      <c r="AU289" s="257"/>
      <c r="AV289" s="258"/>
      <c r="AW289" s="283" t="s">
        <v>72</v>
      </c>
      <c r="AX289" s="254"/>
      <c r="AY289" s="254"/>
      <c r="AZ289" s="254"/>
      <c r="BA289" s="254"/>
      <c r="BB289" s="254"/>
      <c r="BC289" s="254"/>
      <c r="BD289" s="254"/>
      <c r="BE289" s="254" t="s">
        <v>73</v>
      </c>
      <c r="BF289" s="254"/>
      <c r="BG289" s="254"/>
      <c r="BH289" s="254"/>
      <c r="BI289" s="254"/>
      <c r="BJ289" s="254"/>
      <c r="BK289" s="254"/>
      <c r="BL289" s="254"/>
      <c r="BM289" s="254" t="s">
        <v>74</v>
      </c>
      <c r="BN289" s="254"/>
      <c r="BO289" s="254"/>
      <c r="BP289" s="254"/>
      <c r="BQ289" s="254"/>
      <c r="BR289" s="254"/>
      <c r="BS289" s="254"/>
      <c r="BT289" s="254"/>
      <c r="BU289" s="254" t="s">
        <v>75</v>
      </c>
      <c r="BV289" s="254"/>
      <c r="BW289" s="254"/>
      <c r="BX289" s="254"/>
      <c r="BY289" s="254"/>
      <c r="BZ289" s="254"/>
      <c r="CA289" s="254"/>
      <c r="CB289" s="254"/>
      <c r="CC289" s="254" t="s">
        <v>76</v>
      </c>
      <c r="CD289" s="254"/>
      <c r="CE289" s="254"/>
      <c r="CF289" s="254"/>
      <c r="CG289" s="254"/>
      <c r="CH289" s="254"/>
      <c r="CI289" s="254"/>
      <c r="CJ289" s="254"/>
      <c r="CK289" s="254" t="s">
        <v>77</v>
      </c>
      <c r="CL289" s="254"/>
      <c r="CM289" s="254"/>
      <c r="CN289" s="254"/>
      <c r="CO289" s="254"/>
      <c r="CP289" s="254"/>
      <c r="CQ289" s="254"/>
      <c r="CR289" s="255"/>
      <c r="CS289" s="256" t="s">
        <v>78</v>
      </c>
      <c r="CT289" s="257"/>
      <c r="CU289" s="257"/>
      <c r="CV289" s="257"/>
      <c r="CW289" s="257"/>
      <c r="CX289" s="257"/>
      <c r="CY289" s="257"/>
      <c r="CZ289" s="258"/>
      <c r="DA289" s="256" t="s">
        <v>79</v>
      </c>
      <c r="DB289" s="257"/>
      <c r="DC289" s="257"/>
      <c r="DD289" s="257"/>
      <c r="DE289" s="257"/>
      <c r="DF289" s="257"/>
      <c r="DG289" s="257"/>
      <c r="DH289" s="257"/>
      <c r="DI289" s="258"/>
      <c r="DJ289" s="256" t="s">
        <v>80</v>
      </c>
      <c r="DK289" s="257"/>
      <c r="DL289" s="257"/>
      <c r="DM289" s="257"/>
      <c r="DN289" s="257"/>
      <c r="DO289" s="257"/>
      <c r="DP289" s="257"/>
      <c r="DQ289" s="257"/>
      <c r="DR289" s="257"/>
      <c r="DS289" s="257"/>
      <c r="DT289" s="259"/>
    </row>
    <row r="290" spans="1:124">
      <c r="A290" s="288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90"/>
      <c r="N290" s="260" t="s">
        <v>724</v>
      </c>
      <c r="O290" s="102"/>
      <c r="P290" s="102"/>
      <c r="Q290" s="102"/>
      <c r="R290" s="102"/>
      <c r="S290" s="102"/>
      <c r="T290" s="102"/>
      <c r="U290" s="103"/>
      <c r="V290" s="305" t="s">
        <v>497</v>
      </c>
      <c r="W290" s="102"/>
      <c r="X290" s="102"/>
      <c r="Y290" s="102"/>
      <c r="Z290" s="102"/>
      <c r="AA290" s="103"/>
      <c r="AB290" s="280" t="s">
        <v>637</v>
      </c>
      <c r="AC290" s="281"/>
      <c r="AD290" s="281"/>
      <c r="AE290" s="281"/>
      <c r="AF290" s="282"/>
      <c r="AG290" s="260" t="s">
        <v>749</v>
      </c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3"/>
      <c r="AW290" s="261"/>
      <c r="AX290" s="102"/>
      <c r="AY290" s="102"/>
      <c r="AZ290" s="102"/>
      <c r="BA290" s="102"/>
      <c r="BB290" s="102"/>
      <c r="BC290" s="102"/>
      <c r="BD290" s="103"/>
      <c r="BE290" s="261"/>
      <c r="BF290" s="102"/>
      <c r="BG290" s="102"/>
      <c r="BH290" s="102"/>
      <c r="BI290" s="102"/>
      <c r="BJ290" s="102"/>
      <c r="BK290" s="102"/>
      <c r="BL290" s="103"/>
      <c r="BM290" s="260" t="s">
        <v>285</v>
      </c>
      <c r="BN290" s="102"/>
      <c r="BO290" s="102"/>
      <c r="BP290" s="102"/>
      <c r="BQ290" s="102"/>
      <c r="BR290" s="102"/>
      <c r="BS290" s="102"/>
      <c r="BT290" s="103"/>
      <c r="BU290" s="260"/>
      <c r="BV290" s="102"/>
      <c r="BW290" s="102"/>
      <c r="BX290" s="102"/>
      <c r="BY290" s="102"/>
      <c r="BZ290" s="102"/>
      <c r="CA290" s="102"/>
      <c r="CB290" s="103"/>
      <c r="CC290" s="260" t="s">
        <v>784</v>
      </c>
      <c r="CD290" s="102"/>
      <c r="CE290" s="102"/>
      <c r="CF290" s="102"/>
      <c r="CG290" s="102"/>
      <c r="CH290" s="102"/>
      <c r="CI290" s="102"/>
      <c r="CJ290" s="103"/>
      <c r="CK290" s="337"/>
      <c r="CL290" s="338"/>
      <c r="CM290" s="338"/>
      <c r="CN290" s="338"/>
      <c r="CO290" s="338"/>
      <c r="CP290" s="338"/>
      <c r="CQ290" s="338"/>
      <c r="CR290" s="339"/>
      <c r="CS290" s="271" t="s">
        <v>206</v>
      </c>
      <c r="CT290" s="272"/>
      <c r="CU290" s="298">
        <v>192</v>
      </c>
      <c r="CV290" s="298"/>
      <c r="CW290" s="298"/>
      <c r="CX290" s="298"/>
      <c r="CY290" s="298"/>
      <c r="CZ290" s="299"/>
      <c r="DA290" s="274" t="s">
        <v>206</v>
      </c>
      <c r="DB290" s="275"/>
      <c r="DC290" s="275">
        <f t="shared" ref="DC290:DC315" si="10">+AB290*CU290</f>
        <v>768</v>
      </c>
      <c r="DD290" s="275"/>
      <c r="DE290" s="275"/>
      <c r="DF290" s="275"/>
      <c r="DG290" s="275"/>
      <c r="DH290" s="275"/>
      <c r="DI290" s="276"/>
      <c r="DJ290" s="260" t="s">
        <v>305</v>
      </c>
      <c r="DK290" s="102"/>
      <c r="DL290" s="102"/>
      <c r="DM290" s="102"/>
      <c r="DN290" s="102"/>
      <c r="DO290" s="102"/>
      <c r="DP290" s="102"/>
      <c r="DQ290" s="102"/>
      <c r="DR290" s="102"/>
      <c r="DS290" s="102"/>
      <c r="DT290" s="340"/>
    </row>
    <row r="291" spans="1:124">
      <c r="A291" s="346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90"/>
      <c r="N291" s="307" t="s">
        <v>725</v>
      </c>
      <c r="O291" s="102"/>
      <c r="P291" s="102"/>
      <c r="Q291" s="102"/>
      <c r="R291" s="102"/>
      <c r="S291" s="102"/>
      <c r="T291" s="102"/>
      <c r="U291" s="103"/>
      <c r="V291" s="305" t="s">
        <v>249</v>
      </c>
      <c r="W291" s="102"/>
      <c r="X291" s="102"/>
      <c r="Y291" s="102"/>
      <c r="Z291" s="102"/>
      <c r="AA291" s="103"/>
      <c r="AB291" s="291" t="s">
        <v>252</v>
      </c>
      <c r="AC291" s="295"/>
      <c r="AD291" s="295"/>
      <c r="AE291" s="295"/>
      <c r="AF291" s="296"/>
      <c r="AG291" s="262" t="s">
        <v>750</v>
      </c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1"/>
      <c r="AW291" s="284"/>
      <c r="AX291" s="90"/>
      <c r="AY291" s="90"/>
      <c r="AZ291" s="90"/>
      <c r="BA291" s="90"/>
      <c r="BB291" s="90"/>
      <c r="BC291" s="90"/>
      <c r="BD291" s="91"/>
      <c r="BE291" s="284"/>
      <c r="BF291" s="90"/>
      <c r="BG291" s="90"/>
      <c r="BH291" s="90"/>
      <c r="BI291" s="90"/>
      <c r="BJ291" s="90"/>
      <c r="BK291" s="90"/>
      <c r="BL291" s="91"/>
      <c r="BM291" s="262" t="s">
        <v>219</v>
      </c>
      <c r="BN291" s="90"/>
      <c r="BO291" s="90"/>
      <c r="BP291" s="90"/>
      <c r="BQ291" s="90"/>
      <c r="BR291" s="90"/>
      <c r="BS291" s="90"/>
      <c r="BT291" s="91"/>
      <c r="BU291" s="262" t="s">
        <v>776</v>
      </c>
      <c r="BV291" s="90"/>
      <c r="BW291" s="90"/>
      <c r="BX291" s="90"/>
      <c r="BY291" s="90"/>
      <c r="BZ291" s="90"/>
      <c r="CA291" s="90"/>
      <c r="CB291" s="91"/>
      <c r="CC291" s="284"/>
      <c r="CD291" s="90"/>
      <c r="CE291" s="90"/>
      <c r="CF291" s="90"/>
      <c r="CG291" s="90"/>
      <c r="CH291" s="90"/>
      <c r="CI291" s="90"/>
      <c r="CJ291" s="91"/>
      <c r="CK291" s="284"/>
      <c r="CL291" s="90"/>
      <c r="CM291" s="90"/>
      <c r="CN291" s="90"/>
      <c r="CO291" s="90"/>
      <c r="CP291" s="90"/>
      <c r="CQ291" s="90"/>
      <c r="CR291" s="91"/>
      <c r="CS291" s="271" t="s">
        <v>206</v>
      </c>
      <c r="CT291" s="272"/>
      <c r="CU291" s="298">
        <v>350</v>
      </c>
      <c r="CV291" s="298"/>
      <c r="CW291" s="298"/>
      <c r="CX291" s="298"/>
      <c r="CY291" s="298"/>
      <c r="CZ291" s="299"/>
      <c r="DA291" s="274" t="s">
        <v>206</v>
      </c>
      <c r="DB291" s="275"/>
      <c r="DC291" s="275">
        <f t="shared" si="10"/>
        <v>350</v>
      </c>
      <c r="DD291" s="275"/>
      <c r="DE291" s="275"/>
      <c r="DF291" s="275"/>
      <c r="DG291" s="275"/>
      <c r="DH291" s="275"/>
      <c r="DI291" s="276"/>
      <c r="DJ291" s="262" t="s">
        <v>305</v>
      </c>
      <c r="DK291" s="90"/>
      <c r="DL291" s="90"/>
      <c r="DM291" s="90"/>
      <c r="DN291" s="90"/>
      <c r="DO291" s="90"/>
      <c r="DP291" s="90"/>
      <c r="DQ291" s="90"/>
      <c r="DR291" s="90"/>
      <c r="DS291" s="90"/>
      <c r="DT291" s="263"/>
    </row>
    <row r="292" spans="1:124">
      <c r="A292" s="306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90"/>
      <c r="N292" s="307" t="s">
        <v>726</v>
      </c>
      <c r="O292" s="102"/>
      <c r="P292" s="102"/>
      <c r="Q292" s="102"/>
      <c r="R292" s="102"/>
      <c r="S292" s="102"/>
      <c r="T292" s="102"/>
      <c r="U292" s="103"/>
      <c r="V292" s="305" t="s">
        <v>496</v>
      </c>
      <c r="W292" s="102"/>
      <c r="X292" s="102"/>
      <c r="Y292" s="102"/>
      <c r="Z292" s="102"/>
      <c r="AA292" s="103"/>
      <c r="AB292" s="291" t="s">
        <v>217</v>
      </c>
      <c r="AC292" s="295"/>
      <c r="AD292" s="295"/>
      <c r="AE292" s="295"/>
      <c r="AF292" s="296"/>
      <c r="AG292" s="262" t="s">
        <v>704</v>
      </c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1"/>
      <c r="AW292" s="262" t="s">
        <v>770</v>
      </c>
      <c r="AX292" s="90"/>
      <c r="AY292" s="90"/>
      <c r="AZ292" s="90"/>
      <c r="BA292" s="90"/>
      <c r="BB292" s="90"/>
      <c r="BC292" s="90"/>
      <c r="BD292" s="91"/>
      <c r="BE292" s="284"/>
      <c r="BF292" s="90"/>
      <c r="BG292" s="90"/>
      <c r="BH292" s="90"/>
      <c r="BI292" s="90"/>
      <c r="BJ292" s="90"/>
      <c r="BK292" s="90"/>
      <c r="BL292" s="91"/>
      <c r="BM292" s="262" t="s">
        <v>522</v>
      </c>
      <c r="BN292" s="90"/>
      <c r="BO292" s="90"/>
      <c r="BP292" s="90"/>
      <c r="BQ292" s="90"/>
      <c r="BR292" s="90"/>
      <c r="BS292" s="90"/>
      <c r="BT292" s="91"/>
      <c r="BU292" s="262" t="s">
        <v>292</v>
      </c>
      <c r="BV292" s="90"/>
      <c r="BW292" s="90"/>
      <c r="BX292" s="90"/>
      <c r="BY292" s="90"/>
      <c r="BZ292" s="90"/>
      <c r="CA292" s="90"/>
      <c r="CB292" s="91"/>
      <c r="CC292" s="262" t="s">
        <v>718</v>
      </c>
      <c r="CD292" s="90"/>
      <c r="CE292" s="90"/>
      <c r="CF292" s="90"/>
      <c r="CG292" s="90"/>
      <c r="CH292" s="90"/>
      <c r="CI292" s="90"/>
      <c r="CJ292" s="91"/>
      <c r="CK292" s="284"/>
      <c r="CL292" s="90"/>
      <c r="CM292" s="90"/>
      <c r="CN292" s="90"/>
      <c r="CO292" s="90"/>
      <c r="CP292" s="90"/>
      <c r="CQ292" s="90"/>
      <c r="CR292" s="91"/>
      <c r="CS292" s="271" t="s">
        <v>206</v>
      </c>
      <c r="CT292" s="272"/>
      <c r="CU292" s="298">
        <v>200</v>
      </c>
      <c r="CV292" s="298"/>
      <c r="CW292" s="298"/>
      <c r="CX292" s="298"/>
      <c r="CY292" s="298"/>
      <c r="CZ292" s="299"/>
      <c r="DA292" s="274" t="s">
        <v>206</v>
      </c>
      <c r="DB292" s="275"/>
      <c r="DC292" s="275">
        <f t="shared" si="10"/>
        <v>400</v>
      </c>
      <c r="DD292" s="275"/>
      <c r="DE292" s="275"/>
      <c r="DF292" s="275"/>
      <c r="DG292" s="275"/>
      <c r="DH292" s="275"/>
      <c r="DI292" s="276"/>
      <c r="DJ292" s="262" t="s">
        <v>305</v>
      </c>
      <c r="DK292" s="90"/>
      <c r="DL292" s="90"/>
      <c r="DM292" s="90"/>
      <c r="DN292" s="90"/>
      <c r="DO292" s="90"/>
      <c r="DP292" s="90"/>
      <c r="DQ292" s="90"/>
      <c r="DR292" s="90"/>
      <c r="DS292" s="90"/>
      <c r="DT292" s="263"/>
    </row>
    <row r="293" spans="1:124">
      <c r="A293" s="308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307" t="s">
        <v>727</v>
      </c>
      <c r="O293" s="102"/>
      <c r="P293" s="102"/>
      <c r="Q293" s="102"/>
      <c r="R293" s="102"/>
      <c r="S293" s="102"/>
      <c r="T293" s="102"/>
      <c r="U293" s="103"/>
      <c r="V293" s="311">
        <v>38500</v>
      </c>
      <c r="W293" s="347"/>
      <c r="X293" s="347"/>
      <c r="Y293" s="347"/>
      <c r="Z293" s="347"/>
      <c r="AA293" s="348"/>
      <c r="AB293" s="312" t="s">
        <v>252</v>
      </c>
      <c r="AC293" s="313"/>
      <c r="AD293" s="313"/>
      <c r="AE293" s="313"/>
      <c r="AF293" s="313"/>
      <c r="AG293" s="285" t="s">
        <v>783</v>
      </c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  <c r="AV293" s="286"/>
      <c r="AW293" s="285"/>
      <c r="AX293" s="286"/>
      <c r="AY293" s="286"/>
      <c r="AZ293" s="286"/>
      <c r="BA293" s="286"/>
      <c r="BB293" s="286"/>
      <c r="BC293" s="286"/>
      <c r="BD293" s="286"/>
      <c r="BE293" s="285"/>
      <c r="BF293" s="286"/>
      <c r="BG293" s="286"/>
      <c r="BH293" s="286"/>
      <c r="BI293" s="286"/>
      <c r="BJ293" s="286"/>
      <c r="BK293" s="286"/>
      <c r="BL293" s="286"/>
      <c r="BM293" s="285" t="s">
        <v>522</v>
      </c>
      <c r="BN293" s="286"/>
      <c r="BO293" s="286"/>
      <c r="BP293" s="286"/>
      <c r="BQ293" s="286"/>
      <c r="BR293" s="286"/>
      <c r="BS293" s="286"/>
      <c r="BT293" s="286"/>
      <c r="BU293" s="285" t="s">
        <v>295</v>
      </c>
      <c r="BV293" s="286"/>
      <c r="BW293" s="286"/>
      <c r="BX293" s="286"/>
      <c r="BY293" s="286"/>
      <c r="BZ293" s="286"/>
      <c r="CA293" s="286"/>
      <c r="CB293" s="286"/>
      <c r="CC293" s="286"/>
      <c r="CD293" s="286"/>
      <c r="CE293" s="286"/>
      <c r="CF293" s="286"/>
      <c r="CG293" s="286"/>
      <c r="CH293" s="286"/>
      <c r="CI293" s="286"/>
      <c r="CJ293" s="286"/>
      <c r="CK293" s="341"/>
      <c r="CL293" s="342"/>
      <c r="CM293" s="342"/>
      <c r="CN293" s="342"/>
      <c r="CO293" s="342"/>
      <c r="CP293" s="342"/>
      <c r="CQ293" s="342"/>
      <c r="CR293" s="343"/>
      <c r="CS293" s="271" t="s">
        <v>206</v>
      </c>
      <c r="CT293" s="272"/>
      <c r="CU293" s="298">
        <v>5600</v>
      </c>
      <c r="CV293" s="298"/>
      <c r="CW293" s="298"/>
      <c r="CX293" s="298"/>
      <c r="CY293" s="298"/>
      <c r="CZ293" s="299"/>
      <c r="DA293" s="274" t="s">
        <v>206</v>
      </c>
      <c r="DB293" s="275"/>
      <c r="DC293" s="275">
        <f t="shared" ref="DC293" si="11">+AB293*CU293</f>
        <v>5600</v>
      </c>
      <c r="DD293" s="275"/>
      <c r="DE293" s="275"/>
      <c r="DF293" s="275"/>
      <c r="DG293" s="275"/>
      <c r="DH293" s="275"/>
      <c r="DI293" s="276"/>
      <c r="DJ293" s="285" t="s">
        <v>305</v>
      </c>
      <c r="DK293" s="286"/>
      <c r="DL293" s="286"/>
      <c r="DM293" s="286"/>
      <c r="DN293" s="286"/>
      <c r="DO293" s="286"/>
      <c r="DP293" s="286"/>
      <c r="DQ293" s="286"/>
      <c r="DR293" s="286"/>
      <c r="DS293" s="286"/>
      <c r="DT293" s="287"/>
    </row>
    <row r="294" spans="1:124">
      <c r="A294" s="304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307" t="s">
        <v>728</v>
      </c>
      <c r="O294" s="102"/>
      <c r="P294" s="102"/>
      <c r="Q294" s="102"/>
      <c r="R294" s="102"/>
      <c r="S294" s="102"/>
      <c r="T294" s="102"/>
      <c r="U294" s="103"/>
      <c r="V294" s="311">
        <v>38592</v>
      </c>
      <c r="W294" s="347"/>
      <c r="X294" s="347"/>
      <c r="Y294" s="347"/>
      <c r="Z294" s="347"/>
      <c r="AA294" s="348"/>
      <c r="AB294" s="312" t="s">
        <v>252</v>
      </c>
      <c r="AC294" s="313"/>
      <c r="AD294" s="313"/>
      <c r="AE294" s="313"/>
      <c r="AF294" s="313"/>
      <c r="AG294" s="285" t="s">
        <v>783</v>
      </c>
      <c r="AH294" s="286"/>
      <c r="AI294" s="286"/>
      <c r="AJ294" s="286"/>
      <c r="AK294" s="286"/>
      <c r="AL294" s="286"/>
      <c r="AM294" s="286"/>
      <c r="AN294" s="286"/>
      <c r="AO294" s="286"/>
      <c r="AP294" s="286"/>
      <c r="AQ294" s="286"/>
      <c r="AR294" s="286"/>
      <c r="AS294" s="286"/>
      <c r="AT294" s="286"/>
      <c r="AU294" s="286"/>
      <c r="AV294" s="286"/>
      <c r="AW294" s="285"/>
      <c r="AX294" s="286"/>
      <c r="AY294" s="286"/>
      <c r="AZ294" s="286"/>
      <c r="BA294" s="286"/>
      <c r="BB294" s="286"/>
      <c r="BC294" s="286"/>
      <c r="BD294" s="286"/>
      <c r="BE294" s="286"/>
      <c r="BF294" s="286"/>
      <c r="BG294" s="286"/>
      <c r="BH294" s="286"/>
      <c r="BI294" s="286"/>
      <c r="BJ294" s="286"/>
      <c r="BK294" s="286"/>
      <c r="BL294" s="286"/>
      <c r="BM294" s="285" t="s">
        <v>522</v>
      </c>
      <c r="BN294" s="286"/>
      <c r="BO294" s="286"/>
      <c r="BP294" s="286"/>
      <c r="BQ294" s="286"/>
      <c r="BR294" s="286"/>
      <c r="BS294" s="286"/>
      <c r="BT294" s="286"/>
      <c r="BU294" s="285" t="s">
        <v>295</v>
      </c>
      <c r="BV294" s="286"/>
      <c r="BW294" s="286"/>
      <c r="BX294" s="286"/>
      <c r="BY294" s="286"/>
      <c r="BZ294" s="286"/>
      <c r="CA294" s="286"/>
      <c r="CB294" s="286"/>
      <c r="CC294" s="285"/>
      <c r="CD294" s="286"/>
      <c r="CE294" s="286"/>
      <c r="CF294" s="286"/>
      <c r="CG294" s="286"/>
      <c r="CH294" s="286"/>
      <c r="CI294" s="286"/>
      <c r="CJ294" s="286"/>
      <c r="CK294" s="341"/>
      <c r="CL294" s="342"/>
      <c r="CM294" s="342"/>
      <c r="CN294" s="342"/>
      <c r="CO294" s="342"/>
      <c r="CP294" s="342"/>
      <c r="CQ294" s="342"/>
      <c r="CR294" s="343"/>
      <c r="CS294" s="271" t="s">
        <v>206</v>
      </c>
      <c r="CT294" s="272"/>
      <c r="CU294" s="298">
        <v>5600</v>
      </c>
      <c r="CV294" s="298"/>
      <c r="CW294" s="298"/>
      <c r="CX294" s="298"/>
      <c r="CY294" s="298"/>
      <c r="CZ294" s="299"/>
      <c r="DA294" s="274" t="s">
        <v>206</v>
      </c>
      <c r="DB294" s="275"/>
      <c r="DC294" s="275">
        <f t="shared" si="10"/>
        <v>5600</v>
      </c>
      <c r="DD294" s="275"/>
      <c r="DE294" s="275"/>
      <c r="DF294" s="275"/>
      <c r="DG294" s="275"/>
      <c r="DH294" s="275"/>
      <c r="DI294" s="276"/>
      <c r="DJ294" s="285" t="s">
        <v>305</v>
      </c>
      <c r="DK294" s="286"/>
      <c r="DL294" s="286"/>
      <c r="DM294" s="286"/>
      <c r="DN294" s="286"/>
      <c r="DO294" s="286"/>
      <c r="DP294" s="286"/>
      <c r="DQ294" s="286"/>
      <c r="DR294" s="286"/>
      <c r="DS294" s="286"/>
      <c r="DT294" s="287"/>
    </row>
    <row r="295" spans="1:124">
      <c r="A295" s="304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307" t="s">
        <v>729</v>
      </c>
      <c r="O295" s="102"/>
      <c r="P295" s="102"/>
      <c r="Q295" s="102"/>
      <c r="R295" s="102"/>
      <c r="S295" s="102"/>
      <c r="T295" s="102"/>
      <c r="U295" s="103"/>
      <c r="V295" s="311">
        <v>38755</v>
      </c>
      <c r="W295" s="347"/>
      <c r="X295" s="347"/>
      <c r="Y295" s="347"/>
      <c r="Z295" s="347"/>
      <c r="AA295" s="348"/>
      <c r="AB295" s="291" t="s">
        <v>252</v>
      </c>
      <c r="AC295" s="295"/>
      <c r="AD295" s="295"/>
      <c r="AE295" s="295"/>
      <c r="AF295" s="296"/>
      <c r="AG295" s="262" t="s">
        <v>575</v>
      </c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1"/>
      <c r="AW295" s="262" t="s">
        <v>584</v>
      </c>
      <c r="AX295" s="90"/>
      <c r="AY295" s="90"/>
      <c r="AZ295" s="90"/>
      <c r="BA295" s="90"/>
      <c r="BB295" s="90"/>
      <c r="BC295" s="90"/>
      <c r="BD295" s="91"/>
      <c r="BE295" s="284"/>
      <c r="BF295" s="90"/>
      <c r="BG295" s="90"/>
      <c r="BH295" s="90"/>
      <c r="BI295" s="90"/>
      <c r="BJ295" s="90"/>
      <c r="BK295" s="90"/>
      <c r="BL295" s="91"/>
      <c r="BM295" s="262" t="s">
        <v>522</v>
      </c>
      <c r="BN295" s="90"/>
      <c r="BO295" s="90"/>
      <c r="BP295" s="90"/>
      <c r="BQ295" s="90"/>
      <c r="BR295" s="90"/>
      <c r="BS295" s="90"/>
      <c r="BT295" s="91"/>
      <c r="BU295" s="262" t="s">
        <v>715</v>
      </c>
      <c r="BV295" s="90"/>
      <c r="BW295" s="90"/>
      <c r="BX295" s="90"/>
      <c r="BY295" s="90"/>
      <c r="BZ295" s="90"/>
      <c r="CA295" s="90"/>
      <c r="CB295" s="91"/>
      <c r="CC295" s="262"/>
      <c r="CD295" s="90"/>
      <c r="CE295" s="90"/>
      <c r="CF295" s="90"/>
      <c r="CG295" s="90"/>
      <c r="CH295" s="90"/>
      <c r="CI295" s="90"/>
      <c r="CJ295" s="91"/>
      <c r="CK295" s="412" t="s">
        <v>857</v>
      </c>
      <c r="CL295" s="363"/>
      <c r="CM295" s="363"/>
      <c r="CN295" s="363"/>
      <c r="CO295" s="363"/>
      <c r="CP295" s="363"/>
      <c r="CQ295" s="363"/>
      <c r="CR295" s="364"/>
      <c r="CS295" s="271" t="s">
        <v>206</v>
      </c>
      <c r="CT295" s="272"/>
      <c r="CU295" s="298">
        <v>6900</v>
      </c>
      <c r="CV295" s="298"/>
      <c r="CW295" s="298"/>
      <c r="CX295" s="298"/>
      <c r="CY295" s="298"/>
      <c r="CZ295" s="299"/>
      <c r="DA295" s="274" t="s">
        <v>206</v>
      </c>
      <c r="DB295" s="275"/>
      <c r="DC295" s="275">
        <f t="shared" si="10"/>
        <v>6900</v>
      </c>
      <c r="DD295" s="275"/>
      <c r="DE295" s="275"/>
      <c r="DF295" s="275"/>
      <c r="DG295" s="275"/>
      <c r="DH295" s="275"/>
      <c r="DI295" s="276"/>
      <c r="DJ295" s="262" t="s">
        <v>305</v>
      </c>
      <c r="DK295" s="90"/>
      <c r="DL295" s="90"/>
      <c r="DM295" s="90"/>
      <c r="DN295" s="90"/>
      <c r="DO295" s="90"/>
      <c r="DP295" s="90"/>
      <c r="DQ295" s="90"/>
      <c r="DR295" s="90"/>
      <c r="DS295" s="90"/>
      <c r="DT295" s="263"/>
    </row>
    <row r="296" spans="1:124">
      <c r="A296" s="306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90"/>
      <c r="N296" s="307" t="s">
        <v>730</v>
      </c>
      <c r="O296" s="102"/>
      <c r="P296" s="102"/>
      <c r="Q296" s="102"/>
      <c r="R296" s="102"/>
      <c r="S296" s="102"/>
      <c r="T296" s="102"/>
      <c r="U296" s="103"/>
      <c r="V296" s="297">
        <v>41168</v>
      </c>
      <c r="W296" s="102"/>
      <c r="X296" s="102"/>
      <c r="Y296" s="102"/>
      <c r="Z296" s="102"/>
      <c r="AA296" s="103"/>
      <c r="AB296" s="291" t="s">
        <v>252</v>
      </c>
      <c r="AC296" s="295"/>
      <c r="AD296" s="295"/>
      <c r="AE296" s="295"/>
      <c r="AF296" s="296"/>
      <c r="AG296" s="262" t="s">
        <v>751</v>
      </c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1"/>
      <c r="AW296" s="284"/>
      <c r="AX296" s="90"/>
      <c r="AY296" s="90"/>
      <c r="AZ296" s="90"/>
      <c r="BA296" s="90"/>
      <c r="BB296" s="90"/>
      <c r="BC296" s="90"/>
      <c r="BD296" s="91"/>
      <c r="BE296" s="284"/>
      <c r="BF296" s="90"/>
      <c r="BG296" s="90"/>
      <c r="BH296" s="90"/>
      <c r="BI296" s="90"/>
      <c r="BJ296" s="90"/>
      <c r="BK296" s="90"/>
      <c r="BL296" s="91"/>
      <c r="BM296" s="367" t="s">
        <v>775</v>
      </c>
      <c r="BN296" s="368"/>
      <c r="BO296" s="368"/>
      <c r="BP296" s="368"/>
      <c r="BQ296" s="368"/>
      <c r="BR296" s="368"/>
      <c r="BS296" s="368"/>
      <c r="BT296" s="369"/>
      <c r="BU296" s="262" t="s">
        <v>373</v>
      </c>
      <c r="BV296" s="90"/>
      <c r="BW296" s="90"/>
      <c r="BX296" s="90"/>
      <c r="BY296" s="90"/>
      <c r="BZ296" s="90"/>
      <c r="CA296" s="90"/>
      <c r="CB296" s="91"/>
      <c r="CC296" s="262"/>
      <c r="CD296" s="90"/>
      <c r="CE296" s="90"/>
      <c r="CF296" s="90"/>
      <c r="CG296" s="90"/>
      <c r="CH296" s="90"/>
      <c r="CI296" s="90"/>
      <c r="CJ296" s="91"/>
      <c r="CK296" s="284"/>
      <c r="CL296" s="90"/>
      <c r="CM296" s="90"/>
      <c r="CN296" s="90"/>
      <c r="CO296" s="90"/>
      <c r="CP296" s="90"/>
      <c r="CQ296" s="90"/>
      <c r="CR296" s="91"/>
      <c r="CS296" s="271" t="s">
        <v>206</v>
      </c>
      <c r="CT296" s="272"/>
      <c r="CU296" s="298">
        <v>1200</v>
      </c>
      <c r="CV296" s="298"/>
      <c r="CW296" s="298"/>
      <c r="CX296" s="298"/>
      <c r="CY296" s="298"/>
      <c r="CZ296" s="299"/>
      <c r="DA296" s="274" t="s">
        <v>206</v>
      </c>
      <c r="DB296" s="275"/>
      <c r="DC296" s="275">
        <f t="shared" si="10"/>
        <v>1200</v>
      </c>
      <c r="DD296" s="275"/>
      <c r="DE296" s="275"/>
      <c r="DF296" s="275"/>
      <c r="DG296" s="275"/>
      <c r="DH296" s="275"/>
      <c r="DI296" s="276"/>
      <c r="DJ296" s="262" t="s">
        <v>305</v>
      </c>
      <c r="DK296" s="90"/>
      <c r="DL296" s="90"/>
      <c r="DM296" s="90"/>
      <c r="DN296" s="90"/>
      <c r="DO296" s="90"/>
      <c r="DP296" s="90"/>
      <c r="DQ296" s="90"/>
      <c r="DR296" s="90"/>
      <c r="DS296" s="90"/>
      <c r="DT296" s="263"/>
    </row>
    <row r="297" spans="1:124">
      <c r="A297" s="346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90"/>
      <c r="N297" s="420" t="s">
        <v>731</v>
      </c>
      <c r="O297" s="85"/>
      <c r="P297" s="85"/>
      <c r="Q297" s="85"/>
      <c r="R297" s="85"/>
      <c r="S297" s="85"/>
      <c r="T297" s="85"/>
      <c r="U297" s="86"/>
      <c r="V297" s="421">
        <v>41476</v>
      </c>
      <c r="W297" s="422"/>
      <c r="X297" s="422"/>
      <c r="Y297" s="422"/>
      <c r="Z297" s="422"/>
      <c r="AA297" s="423"/>
      <c r="AB297" s="424" t="s">
        <v>501</v>
      </c>
      <c r="AC297" s="425"/>
      <c r="AD297" s="425"/>
      <c r="AE297" s="425"/>
      <c r="AF297" s="426"/>
      <c r="AG297" s="383" t="s">
        <v>752</v>
      </c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6"/>
      <c r="AW297" s="383"/>
      <c r="AX297" s="85"/>
      <c r="AY297" s="85"/>
      <c r="AZ297" s="85"/>
      <c r="BA297" s="85"/>
      <c r="BB297" s="85"/>
      <c r="BC297" s="85"/>
      <c r="BD297" s="86"/>
      <c r="BE297" s="84"/>
      <c r="BF297" s="85"/>
      <c r="BG297" s="85"/>
      <c r="BH297" s="85"/>
      <c r="BI297" s="85"/>
      <c r="BJ297" s="85"/>
      <c r="BK297" s="85"/>
      <c r="BL297" s="86"/>
      <c r="BM297" s="383" t="s">
        <v>290</v>
      </c>
      <c r="BN297" s="85"/>
      <c r="BO297" s="85"/>
      <c r="BP297" s="85"/>
      <c r="BQ297" s="85"/>
      <c r="BR297" s="85"/>
      <c r="BS297" s="85"/>
      <c r="BT297" s="86"/>
      <c r="BU297" s="427" t="s">
        <v>777</v>
      </c>
      <c r="BV297" s="428"/>
      <c r="BW297" s="428"/>
      <c r="BX297" s="428"/>
      <c r="BY297" s="428"/>
      <c r="BZ297" s="428"/>
      <c r="CA297" s="428"/>
      <c r="CB297" s="429"/>
      <c r="CC297" s="84"/>
      <c r="CD297" s="85"/>
      <c r="CE297" s="85"/>
      <c r="CF297" s="85"/>
      <c r="CG297" s="85"/>
      <c r="CH297" s="85"/>
      <c r="CI297" s="85"/>
      <c r="CJ297" s="86"/>
      <c r="CK297" s="383"/>
      <c r="CL297" s="85"/>
      <c r="CM297" s="85"/>
      <c r="CN297" s="85"/>
      <c r="CO297" s="85"/>
      <c r="CP297" s="85"/>
      <c r="CQ297" s="85"/>
      <c r="CR297" s="86"/>
      <c r="CS297" s="413" t="s">
        <v>206</v>
      </c>
      <c r="CT297" s="414"/>
      <c r="CU297" s="415">
        <v>970</v>
      </c>
      <c r="CV297" s="415"/>
      <c r="CW297" s="415"/>
      <c r="CX297" s="415"/>
      <c r="CY297" s="415"/>
      <c r="CZ297" s="416"/>
      <c r="DA297" s="417" t="s">
        <v>206</v>
      </c>
      <c r="DB297" s="418"/>
      <c r="DC297" s="418">
        <f t="shared" si="10"/>
        <v>6790</v>
      </c>
      <c r="DD297" s="418"/>
      <c r="DE297" s="418"/>
      <c r="DF297" s="418"/>
      <c r="DG297" s="418"/>
      <c r="DH297" s="418"/>
      <c r="DI297" s="419"/>
      <c r="DJ297" s="383" t="s">
        <v>305</v>
      </c>
      <c r="DK297" s="85"/>
      <c r="DL297" s="85"/>
      <c r="DM297" s="85"/>
      <c r="DN297" s="85"/>
      <c r="DO297" s="85"/>
      <c r="DP297" s="85"/>
      <c r="DQ297" s="85"/>
      <c r="DR297" s="85"/>
      <c r="DS297" s="85"/>
      <c r="DT297" s="384"/>
    </row>
    <row r="298" spans="1:124">
      <c r="A298" s="288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90"/>
      <c r="N298" s="309" t="s">
        <v>732</v>
      </c>
      <c r="O298" s="90"/>
      <c r="P298" s="90"/>
      <c r="Q298" s="90"/>
      <c r="R298" s="90"/>
      <c r="S298" s="90"/>
      <c r="T298" s="90"/>
      <c r="U298" s="91"/>
      <c r="V298" s="297">
        <v>42869</v>
      </c>
      <c r="W298" s="102"/>
      <c r="X298" s="102"/>
      <c r="Y298" s="102"/>
      <c r="Z298" s="102"/>
      <c r="AA298" s="103"/>
      <c r="AB298" s="291" t="s">
        <v>252</v>
      </c>
      <c r="AC298" s="295"/>
      <c r="AD298" s="295"/>
      <c r="AE298" s="295"/>
      <c r="AF298" s="296"/>
      <c r="AG298" s="301" t="s">
        <v>753</v>
      </c>
      <c r="AH298" s="302"/>
      <c r="AI298" s="302"/>
      <c r="AJ298" s="302"/>
      <c r="AK298" s="302"/>
      <c r="AL298" s="302"/>
      <c r="AM298" s="302"/>
      <c r="AN298" s="302"/>
      <c r="AO298" s="302"/>
      <c r="AP298" s="302"/>
      <c r="AQ298" s="302"/>
      <c r="AR298" s="302"/>
      <c r="AS298" s="302"/>
      <c r="AT298" s="302"/>
      <c r="AU298" s="302"/>
      <c r="AV298" s="303"/>
      <c r="AW298" s="262" t="s">
        <v>768</v>
      </c>
      <c r="AX298" s="90"/>
      <c r="AY298" s="90"/>
      <c r="AZ298" s="90"/>
      <c r="BA298" s="90"/>
      <c r="BB298" s="90"/>
      <c r="BC298" s="90"/>
      <c r="BD298" s="91"/>
      <c r="BE298" s="284"/>
      <c r="BF298" s="90"/>
      <c r="BG298" s="90"/>
      <c r="BH298" s="90"/>
      <c r="BI298" s="90"/>
      <c r="BJ298" s="90"/>
      <c r="BK298" s="90"/>
      <c r="BL298" s="91"/>
      <c r="BM298" s="262"/>
      <c r="BN298" s="90"/>
      <c r="BO298" s="90"/>
      <c r="BP298" s="90"/>
      <c r="BQ298" s="90"/>
      <c r="BR298" s="90"/>
      <c r="BS298" s="90"/>
      <c r="BT298" s="91"/>
      <c r="BU298" s="262" t="s">
        <v>778</v>
      </c>
      <c r="BV298" s="90"/>
      <c r="BW298" s="90"/>
      <c r="BX298" s="90"/>
      <c r="BY298" s="90"/>
      <c r="BZ298" s="90"/>
      <c r="CA298" s="90"/>
      <c r="CB298" s="91"/>
      <c r="CC298" s="284"/>
      <c r="CD298" s="90"/>
      <c r="CE298" s="90"/>
      <c r="CF298" s="90"/>
      <c r="CG298" s="90"/>
      <c r="CH298" s="90"/>
      <c r="CI298" s="90"/>
      <c r="CJ298" s="91"/>
      <c r="CK298" s="284"/>
      <c r="CL298" s="90"/>
      <c r="CM298" s="90"/>
      <c r="CN298" s="90"/>
      <c r="CO298" s="90"/>
      <c r="CP298" s="90"/>
      <c r="CQ298" s="90"/>
      <c r="CR298" s="91"/>
      <c r="CS298" s="271" t="s">
        <v>206</v>
      </c>
      <c r="CT298" s="272"/>
      <c r="CU298" s="298">
        <v>15000</v>
      </c>
      <c r="CV298" s="298"/>
      <c r="CW298" s="298"/>
      <c r="CX298" s="298"/>
      <c r="CY298" s="298"/>
      <c r="CZ298" s="299"/>
      <c r="DA298" s="274" t="s">
        <v>206</v>
      </c>
      <c r="DB298" s="275"/>
      <c r="DC298" s="275">
        <f t="shared" si="10"/>
        <v>15000</v>
      </c>
      <c r="DD298" s="275"/>
      <c r="DE298" s="275"/>
      <c r="DF298" s="275"/>
      <c r="DG298" s="275"/>
      <c r="DH298" s="275"/>
      <c r="DI298" s="276"/>
      <c r="DJ298" s="262" t="s">
        <v>305</v>
      </c>
      <c r="DK298" s="90"/>
      <c r="DL298" s="90"/>
      <c r="DM298" s="90"/>
      <c r="DN298" s="90"/>
      <c r="DO298" s="90"/>
      <c r="DP298" s="90"/>
      <c r="DQ298" s="90"/>
      <c r="DR298" s="90"/>
      <c r="DS298" s="90"/>
      <c r="DT298" s="263"/>
    </row>
    <row r="299" spans="1:124">
      <c r="A299" s="288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90"/>
      <c r="N299" s="309"/>
      <c r="O299" s="90"/>
      <c r="P299" s="90"/>
      <c r="Q299" s="90"/>
      <c r="R299" s="90"/>
      <c r="S299" s="90"/>
      <c r="T299" s="90"/>
      <c r="U299" s="91"/>
      <c r="V299" s="316"/>
      <c r="W299" s="102"/>
      <c r="X299" s="102"/>
      <c r="Y299" s="102"/>
      <c r="Z299" s="102"/>
      <c r="AA299" s="103"/>
      <c r="AB299" s="291" t="s">
        <v>252</v>
      </c>
      <c r="AC299" s="295"/>
      <c r="AD299" s="295"/>
      <c r="AE299" s="295"/>
      <c r="AF299" s="296"/>
      <c r="AG299" s="262" t="s">
        <v>754</v>
      </c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1"/>
      <c r="AW299" s="370" t="s">
        <v>769</v>
      </c>
      <c r="AX299" s="371"/>
      <c r="AY299" s="371"/>
      <c r="AZ299" s="371"/>
      <c r="BA299" s="371"/>
      <c r="BB299" s="371"/>
      <c r="BC299" s="371"/>
      <c r="BD299" s="372"/>
      <c r="BE299" s="286"/>
      <c r="BF299" s="286"/>
      <c r="BG299" s="286"/>
      <c r="BH299" s="286"/>
      <c r="BI299" s="286"/>
      <c r="BJ299" s="286"/>
      <c r="BK299" s="286"/>
      <c r="BL299" s="286"/>
      <c r="BM299" s="285"/>
      <c r="BN299" s="286"/>
      <c r="BO299" s="286"/>
      <c r="BP299" s="286"/>
      <c r="BQ299" s="286"/>
      <c r="BR299" s="286"/>
      <c r="BS299" s="286"/>
      <c r="BT299" s="286"/>
      <c r="BU299" s="285"/>
      <c r="BV299" s="286"/>
      <c r="BW299" s="286"/>
      <c r="BX299" s="286"/>
      <c r="BY299" s="286"/>
      <c r="BZ299" s="286"/>
      <c r="CA299" s="286"/>
      <c r="CB299" s="286"/>
      <c r="CC299" s="286"/>
      <c r="CD299" s="286"/>
      <c r="CE299" s="286"/>
      <c r="CF299" s="286"/>
      <c r="CG299" s="286"/>
      <c r="CH299" s="286"/>
      <c r="CI299" s="286"/>
      <c r="CJ299" s="286"/>
      <c r="CK299" s="286"/>
      <c r="CL299" s="286"/>
      <c r="CM299" s="286"/>
      <c r="CN299" s="286"/>
      <c r="CO299" s="286"/>
      <c r="CP299" s="286"/>
      <c r="CQ299" s="286"/>
      <c r="CR299" s="286"/>
      <c r="CS299" s="271" t="s">
        <v>206</v>
      </c>
      <c r="CT299" s="272"/>
      <c r="CU299" s="298">
        <v>0</v>
      </c>
      <c r="CV299" s="298"/>
      <c r="CW299" s="298"/>
      <c r="CX299" s="298"/>
      <c r="CY299" s="298"/>
      <c r="CZ299" s="299"/>
      <c r="DA299" s="274" t="s">
        <v>206</v>
      </c>
      <c r="DB299" s="275"/>
      <c r="DC299" s="275">
        <f t="shared" si="10"/>
        <v>0</v>
      </c>
      <c r="DD299" s="275"/>
      <c r="DE299" s="275"/>
      <c r="DF299" s="275"/>
      <c r="DG299" s="275"/>
      <c r="DH299" s="275"/>
      <c r="DI299" s="276"/>
      <c r="DJ299" s="262" t="s">
        <v>305</v>
      </c>
      <c r="DK299" s="90"/>
      <c r="DL299" s="90"/>
      <c r="DM299" s="90"/>
      <c r="DN299" s="90"/>
      <c r="DO299" s="90"/>
      <c r="DP299" s="90"/>
      <c r="DQ299" s="90"/>
      <c r="DR299" s="90"/>
      <c r="DS299" s="90"/>
      <c r="DT299" s="263"/>
    </row>
    <row r="300" spans="1:124">
      <c r="A300" s="288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90"/>
      <c r="N300" s="262" t="s">
        <v>733</v>
      </c>
      <c r="O300" s="90"/>
      <c r="P300" s="90"/>
      <c r="Q300" s="90"/>
      <c r="R300" s="90"/>
      <c r="S300" s="90"/>
      <c r="T300" s="90"/>
      <c r="U300" s="91"/>
      <c r="V300" s="297">
        <v>43734</v>
      </c>
      <c r="W300" s="102"/>
      <c r="X300" s="102"/>
      <c r="Y300" s="102"/>
      <c r="Z300" s="102"/>
      <c r="AA300" s="103"/>
      <c r="AB300" s="291" t="s">
        <v>252</v>
      </c>
      <c r="AC300" s="295"/>
      <c r="AD300" s="295"/>
      <c r="AE300" s="295"/>
      <c r="AF300" s="296"/>
      <c r="AG300" s="357" t="s">
        <v>445</v>
      </c>
      <c r="AH300" s="358"/>
      <c r="AI300" s="358"/>
      <c r="AJ300" s="358"/>
      <c r="AK300" s="358"/>
      <c r="AL300" s="358"/>
      <c r="AM300" s="358"/>
      <c r="AN300" s="358"/>
      <c r="AO300" s="358"/>
      <c r="AP300" s="358"/>
      <c r="AQ300" s="358"/>
      <c r="AR300" s="358"/>
      <c r="AS300" s="358"/>
      <c r="AT300" s="358"/>
      <c r="AU300" s="358"/>
      <c r="AV300" s="359"/>
      <c r="AW300" s="262" t="s">
        <v>764</v>
      </c>
      <c r="AX300" s="90"/>
      <c r="AY300" s="90"/>
      <c r="AZ300" s="90"/>
      <c r="BA300" s="90"/>
      <c r="BB300" s="90"/>
      <c r="BC300" s="90"/>
      <c r="BD300" s="91"/>
      <c r="BE300" s="262" t="s">
        <v>771</v>
      </c>
      <c r="BF300" s="90"/>
      <c r="BG300" s="90"/>
      <c r="BH300" s="90"/>
      <c r="BI300" s="90"/>
      <c r="BJ300" s="90"/>
      <c r="BK300" s="90"/>
      <c r="BL300" s="91"/>
      <c r="BM300" s="262"/>
      <c r="BN300" s="90"/>
      <c r="BO300" s="90"/>
      <c r="BP300" s="90"/>
      <c r="BQ300" s="90"/>
      <c r="BR300" s="90"/>
      <c r="BS300" s="90"/>
      <c r="BT300" s="91"/>
      <c r="BU300" s="262" t="s">
        <v>373</v>
      </c>
      <c r="BV300" s="90"/>
      <c r="BW300" s="90"/>
      <c r="BX300" s="90"/>
      <c r="BY300" s="90"/>
      <c r="BZ300" s="90"/>
      <c r="CA300" s="90"/>
      <c r="CB300" s="91"/>
      <c r="CC300" s="284"/>
      <c r="CD300" s="90"/>
      <c r="CE300" s="90"/>
      <c r="CF300" s="90"/>
      <c r="CG300" s="90"/>
      <c r="CH300" s="90"/>
      <c r="CI300" s="90"/>
      <c r="CJ300" s="91"/>
      <c r="CK300" s="284"/>
      <c r="CL300" s="90"/>
      <c r="CM300" s="90"/>
      <c r="CN300" s="90"/>
      <c r="CO300" s="90"/>
      <c r="CP300" s="90"/>
      <c r="CQ300" s="90"/>
      <c r="CR300" s="91"/>
      <c r="CS300" s="271" t="s">
        <v>206</v>
      </c>
      <c r="CT300" s="272"/>
      <c r="CU300" s="298">
        <v>1000</v>
      </c>
      <c r="CV300" s="298"/>
      <c r="CW300" s="298"/>
      <c r="CX300" s="298"/>
      <c r="CY300" s="298"/>
      <c r="CZ300" s="299"/>
      <c r="DA300" s="274" t="s">
        <v>206</v>
      </c>
      <c r="DB300" s="275"/>
      <c r="DC300" s="275">
        <f t="shared" si="10"/>
        <v>1000</v>
      </c>
      <c r="DD300" s="275"/>
      <c r="DE300" s="275"/>
      <c r="DF300" s="275"/>
      <c r="DG300" s="275"/>
      <c r="DH300" s="275"/>
      <c r="DI300" s="276"/>
      <c r="DJ300" s="262" t="s">
        <v>305</v>
      </c>
      <c r="DK300" s="90"/>
      <c r="DL300" s="90"/>
      <c r="DM300" s="90"/>
      <c r="DN300" s="90"/>
      <c r="DO300" s="90"/>
      <c r="DP300" s="90"/>
      <c r="DQ300" s="90"/>
      <c r="DR300" s="90"/>
      <c r="DS300" s="90"/>
      <c r="DT300" s="263"/>
    </row>
    <row r="301" spans="1:124">
      <c r="A301" s="304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62" t="s">
        <v>734</v>
      </c>
      <c r="O301" s="90"/>
      <c r="P301" s="90"/>
      <c r="Q301" s="90"/>
      <c r="R301" s="90"/>
      <c r="S301" s="90"/>
      <c r="T301" s="90"/>
      <c r="U301" s="91"/>
      <c r="V301" s="297">
        <v>43854</v>
      </c>
      <c r="W301" s="102"/>
      <c r="X301" s="102"/>
      <c r="Y301" s="102"/>
      <c r="Z301" s="102"/>
      <c r="AA301" s="103"/>
      <c r="AB301" s="291" t="s">
        <v>252</v>
      </c>
      <c r="AC301" s="295"/>
      <c r="AD301" s="295"/>
      <c r="AE301" s="295"/>
      <c r="AF301" s="296"/>
      <c r="AG301" s="357" t="s">
        <v>755</v>
      </c>
      <c r="AH301" s="358"/>
      <c r="AI301" s="358"/>
      <c r="AJ301" s="358"/>
      <c r="AK301" s="358"/>
      <c r="AL301" s="358"/>
      <c r="AM301" s="358"/>
      <c r="AN301" s="358"/>
      <c r="AO301" s="358"/>
      <c r="AP301" s="358"/>
      <c r="AQ301" s="358"/>
      <c r="AR301" s="358"/>
      <c r="AS301" s="358"/>
      <c r="AT301" s="358"/>
      <c r="AU301" s="358"/>
      <c r="AV301" s="359"/>
      <c r="AW301" s="284"/>
      <c r="AX301" s="90"/>
      <c r="AY301" s="90"/>
      <c r="AZ301" s="90"/>
      <c r="BA301" s="90"/>
      <c r="BB301" s="90"/>
      <c r="BC301" s="90"/>
      <c r="BD301" s="91"/>
      <c r="BE301" s="284"/>
      <c r="BF301" s="90"/>
      <c r="BG301" s="90"/>
      <c r="BH301" s="90"/>
      <c r="BI301" s="90"/>
      <c r="BJ301" s="90"/>
      <c r="BK301" s="90"/>
      <c r="BL301" s="91"/>
      <c r="BM301" s="262"/>
      <c r="BN301" s="90"/>
      <c r="BO301" s="90"/>
      <c r="BP301" s="90"/>
      <c r="BQ301" s="90"/>
      <c r="BR301" s="90"/>
      <c r="BS301" s="90"/>
      <c r="BT301" s="91"/>
      <c r="BU301" s="262"/>
      <c r="BV301" s="90"/>
      <c r="BW301" s="90"/>
      <c r="BX301" s="90"/>
      <c r="BY301" s="90"/>
      <c r="BZ301" s="90"/>
      <c r="CA301" s="90"/>
      <c r="CB301" s="91"/>
      <c r="CC301" s="284"/>
      <c r="CD301" s="90"/>
      <c r="CE301" s="90"/>
      <c r="CF301" s="90"/>
      <c r="CG301" s="90"/>
      <c r="CH301" s="90"/>
      <c r="CI301" s="90"/>
      <c r="CJ301" s="91"/>
      <c r="CK301" s="284"/>
      <c r="CL301" s="90"/>
      <c r="CM301" s="90"/>
      <c r="CN301" s="90"/>
      <c r="CO301" s="90"/>
      <c r="CP301" s="90"/>
      <c r="CQ301" s="90"/>
      <c r="CR301" s="91"/>
      <c r="CS301" s="271" t="s">
        <v>206</v>
      </c>
      <c r="CT301" s="272"/>
      <c r="CU301" s="298">
        <v>8000</v>
      </c>
      <c r="CV301" s="298"/>
      <c r="CW301" s="298"/>
      <c r="CX301" s="298"/>
      <c r="CY301" s="298"/>
      <c r="CZ301" s="299"/>
      <c r="DA301" s="274" t="s">
        <v>206</v>
      </c>
      <c r="DB301" s="275"/>
      <c r="DC301" s="275">
        <f t="shared" si="10"/>
        <v>8000</v>
      </c>
      <c r="DD301" s="275"/>
      <c r="DE301" s="275"/>
      <c r="DF301" s="275"/>
      <c r="DG301" s="275"/>
      <c r="DH301" s="275"/>
      <c r="DI301" s="276"/>
      <c r="DJ301" s="262" t="s">
        <v>305</v>
      </c>
      <c r="DK301" s="90"/>
      <c r="DL301" s="90"/>
      <c r="DM301" s="90"/>
      <c r="DN301" s="90"/>
      <c r="DO301" s="90"/>
      <c r="DP301" s="90"/>
      <c r="DQ301" s="90"/>
      <c r="DR301" s="90"/>
      <c r="DS301" s="90"/>
      <c r="DT301" s="263"/>
    </row>
    <row r="302" spans="1:124">
      <c r="A302" s="308" t="s">
        <v>748</v>
      </c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85"/>
      <c r="O302" s="286"/>
      <c r="P302" s="286"/>
      <c r="Q302" s="286"/>
      <c r="R302" s="286"/>
      <c r="S302" s="286"/>
      <c r="T302" s="286"/>
      <c r="U302" s="286"/>
      <c r="V302" s="261"/>
      <c r="W302" s="102"/>
      <c r="X302" s="102"/>
      <c r="Y302" s="102"/>
      <c r="Z302" s="102"/>
      <c r="AA302" s="103"/>
      <c r="AB302" s="312"/>
      <c r="AC302" s="313"/>
      <c r="AD302" s="313"/>
      <c r="AE302" s="313"/>
      <c r="AF302" s="313"/>
      <c r="AG302" s="357"/>
      <c r="AH302" s="358"/>
      <c r="AI302" s="358"/>
      <c r="AJ302" s="358"/>
      <c r="AK302" s="358"/>
      <c r="AL302" s="358"/>
      <c r="AM302" s="358"/>
      <c r="AN302" s="358"/>
      <c r="AO302" s="358"/>
      <c r="AP302" s="358"/>
      <c r="AQ302" s="358"/>
      <c r="AR302" s="358"/>
      <c r="AS302" s="358"/>
      <c r="AT302" s="358"/>
      <c r="AU302" s="358"/>
      <c r="AV302" s="359"/>
      <c r="AW302" s="286"/>
      <c r="AX302" s="286"/>
      <c r="AY302" s="286"/>
      <c r="AZ302" s="286"/>
      <c r="BA302" s="286"/>
      <c r="BB302" s="286"/>
      <c r="BC302" s="286"/>
      <c r="BD302" s="286"/>
      <c r="BE302" s="286"/>
      <c r="BF302" s="286"/>
      <c r="BG302" s="286"/>
      <c r="BH302" s="286"/>
      <c r="BI302" s="286"/>
      <c r="BJ302" s="286"/>
      <c r="BK302" s="286"/>
      <c r="BL302" s="286"/>
      <c r="BM302" s="262"/>
      <c r="BN302" s="90"/>
      <c r="BO302" s="90"/>
      <c r="BP302" s="90"/>
      <c r="BQ302" s="90"/>
      <c r="BR302" s="90"/>
      <c r="BS302" s="90"/>
      <c r="BT302" s="91"/>
      <c r="BU302" s="262"/>
      <c r="BV302" s="90"/>
      <c r="BW302" s="90"/>
      <c r="BX302" s="90"/>
      <c r="BY302" s="90"/>
      <c r="BZ302" s="90"/>
      <c r="CA302" s="90"/>
      <c r="CB302" s="91"/>
      <c r="CC302" s="286"/>
      <c r="CD302" s="286"/>
      <c r="CE302" s="286"/>
      <c r="CF302" s="286"/>
      <c r="CG302" s="286"/>
      <c r="CH302" s="286"/>
      <c r="CI302" s="286"/>
      <c r="CJ302" s="286"/>
      <c r="CK302" s="286"/>
      <c r="CL302" s="286"/>
      <c r="CM302" s="286"/>
      <c r="CN302" s="286"/>
      <c r="CO302" s="286"/>
      <c r="CP302" s="286"/>
      <c r="CQ302" s="286"/>
      <c r="CR302" s="286"/>
      <c r="CS302" s="271"/>
      <c r="CT302" s="272"/>
      <c r="CU302" s="298"/>
      <c r="CV302" s="298"/>
      <c r="CW302" s="298"/>
      <c r="CX302" s="298"/>
      <c r="CY302" s="298"/>
      <c r="CZ302" s="299"/>
      <c r="DA302" s="274"/>
      <c r="DB302" s="275"/>
      <c r="DC302" s="275"/>
      <c r="DD302" s="275"/>
      <c r="DE302" s="275"/>
      <c r="DF302" s="275"/>
      <c r="DG302" s="275"/>
      <c r="DH302" s="275"/>
      <c r="DI302" s="276"/>
      <c r="DJ302" s="262"/>
      <c r="DK302" s="90"/>
      <c r="DL302" s="90"/>
      <c r="DM302" s="90"/>
      <c r="DN302" s="90"/>
      <c r="DO302" s="90"/>
      <c r="DP302" s="90"/>
      <c r="DQ302" s="90"/>
      <c r="DR302" s="90"/>
      <c r="DS302" s="90"/>
      <c r="DT302" s="263"/>
    </row>
    <row r="303" spans="1:124">
      <c r="A303" s="304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85" t="s">
        <v>735</v>
      </c>
      <c r="O303" s="286"/>
      <c r="P303" s="286"/>
      <c r="Q303" s="286"/>
      <c r="R303" s="286"/>
      <c r="S303" s="286"/>
      <c r="T303" s="286"/>
      <c r="U303" s="286"/>
      <c r="V303" s="305" t="s">
        <v>249</v>
      </c>
      <c r="W303" s="102"/>
      <c r="X303" s="102"/>
      <c r="Y303" s="102"/>
      <c r="Z303" s="102"/>
      <c r="AA303" s="103"/>
      <c r="AB303" s="312" t="s">
        <v>252</v>
      </c>
      <c r="AC303" s="313"/>
      <c r="AD303" s="313"/>
      <c r="AE303" s="313"/>
      <c r="AF303" s="313"/>
      <c r="AG303" s="285" t="s">
        <v>447</v>
      </c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  <c r="AV303" s="286"/>
      <c r="AW303" s="286"/>
      <c r="AX303" s="286"/>
      <c r="AY303" s="286"/>
      <c r="AZ303" s="286"/>
      <c r="BA303" s="286"/>
      <c r="BB303" s="286"/>
      <c r="BC303" s="286"/>
      <c r="BD303" s="286"/>
      <c r="BE303" s="286"/>
      <c r="BF303" s="286"/>
      <c r="BG303" s="286"/>
      <c r="BH303" s="286"/>
      <c r="BI303" s="286"/>
      <c r="BJ303" s="286"/>
      <c r="BK303" s="286"/>
      <c r="BL303" s="286"/>
      <c r="BM303" s="285" t="s">
        <v>285</v>
      </c>
      <c r="BN303" s="286"/>
      <c r="BO303" s="286"/>
      <c r="BP303" s="286"/>
      <c r="BQ303" s="286"/>
      <c r="BR303" s="286"/>
      <c r="BS303" s="286"/>
      <c r="BT303" s="286"/>
      <c r="BU303" s="262"/>
      <c r="BV303" s="90"/>
      <c r="BW303" s="90"/>
      <c r="BX303" s="90"/>
      <c r="BY303" s="90"/>
      <c r="BZ303" s="90"/>
      <c r="CA303" s="90"/>
      <c r="CB303" s="91"/>
      <c r="CC303" s="285" t="s">
        <v>463</v>
      </c>
      <c r="CD303" s="286"/>
      <c r="CE303" s="286"/>
      <c r="CF303" s="286"/>
      <c r="CG303" s="286"/>
      <c r="CH303" s="286"/>
      <c r="CI303" s="286"/>
      <c r="CJ303" s="286"/>
      <c r="CK303" s="286"/>
      <c r="CL303" s="286"/>
      <c r="CM303" s="286"/>
      <c r="CN303" s="286"/>
      <c r="CO303" s="286"/>
      <c r="CP303" s="286"/>
      <c r="CQ303" s="286"/>
      <c r="CR303" s="286"/>
      <c r="CS303" s="271" t="s">
        <v>206</v>
      </c>
      <c r="CT303" s="272"/>
      <c r="CU303" s="298">
        <v>881.25</v>
      </c>
      <c r="CV303" s="298"/>
      <c r="CW303" s="298"/>
      <c r="CX303" s="298"/>
      <c r="CY303" s="298"/>
      <c r="CZ303" s="299"/>
      <c r="DA303" s="274" t="s">
        <v>206</v>
      </c>
      <c r="DB303" s="275"/>
      <c r="DC303" s="275">
        <f t="shared" si="10"/>
        <v>881.25</v>
      </c>
      <c r="DD303" s="275"/>
      <c r="DE303" s="275"/>
      <c r="DF303" s="275"/>
      <c r="DG303" s="275"/>
      <c r="DH303" s="275"/>
      <c r="DI303" s="276"/>
      <c r="DJ303" s="262" t="s">
        <v>305</v>
      </c>
      <c r="DK303" s="90"/>
      <c r="DL303" s="90"/>
      <c r="DM303" s="90"/>
      <c r="DN303" s="90"/>
      <c r="DO303" s="90"/>
      <c r="DP303" s="90"/>
      <c r="DQ303" s="90"/>
      <c r="DR303" s="90"/>
      <c r="DS303" s="90"/>
      <c r="DT303" s="263"/>
    </row>
    <row r="304" spans="1:124">
      <c r="A304" s="288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90"/>
      <c r="N304" s="262" t="s">
        <v>736</v>
      </c>
      <c r="O304" s="90"/>
      <c r="P304" s="90"/>
      <c r="Q304" s="90"/>
      <c r="R304" s="90"/>
      <c r="S304" s="90"/>
      <c r="T304" s="90"/>
      <c r="U304" s="91"/>
      <c r="V304" s="307" t="s">
        <v>249</v>
      </c>
      <c r="W304" s="102"/>
      <c r="X304" s="102"/>
      <c r="Y304" s="102"/>
      <c r="Z304" s="102"/>
      <c r="AA304" s="103"/>
      <c r="AB304" s="291" t="s">
        <v>252</v>
      </c>
      <c r="AC304" s="295"/>
      <c r="AD304" s="295"/>
      <c r="AE304" s="295"/>
      <c r="AF304" s="296"/>
      <c r="AG304" s="262" t="s">
        <v>447</v>
      </c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1"/>
      <c r="AW304" s="262"/>
      <c r="AX304" s="90"/>
      <c r="AY304" s="90"/>
      <c r="AZ304" s="90"/>
      <c r="BA304" s="90"/>
      <c r="BB304" s="90"/>
      <c r="BC304" s="90"/>
      <c r="BD304" s="91"/>
      <c r="BE304" s="284"/>
      <c r="BF304" s="90"/>
      <c r="BG304" s="90"/>
      <c r="BH304" s="90"/>
      <c r="BI304" s="90"/>
      <c r="BJ304" s="90"/>
      <c r="BK304" s="90"/>
      <c r="BL304" s="91"/>
      <c r="BM304" s="285" t="s">
        <v>285</v>
      </c>
      <c r="BN304" s="286"/>
      <c r="BO304" s="286"/>
      <c r="BP304" s="286"/>
      <c r="BQ304" s="286"/>
      <c r="BR304" s="286"/>
      <c r="BS304" s="286"/>
      <c r="BT304" s="286"/>
      <c r="BU304" s="262"/>
      <c r="BV304" s="90"/>
      <c r="BW304" s="90"/>
      <c r="BX304" s="90"/>
      <c r="BY304" s="90"/>
      <c r="BZ304" s="90"/>
      <c r="CA304" s="90"/>
      <c r="CB304" s="91"/>
      <c r="CC304" s="262" t="s">
        <v>463</v>
      </c>
      <c r="CD304" s="90"/>
      <c r="CE304" s="90"/>
      <c r="CF304" s="90"/>
      <c r="CG304" s="90"/>
      <c r="CH304" s="90"/>
      <c r="CI304" s="90"/>
      <c r="CJ304" s="91"/>
      <c r="CK304" s="284"/>
      <c r="CL304" s="90"/>
      <c r="CM304" s="90"/>
      <c r="CN304" s="90"/>
      <c r="CO304" s="90"/>
      <c r="CP304" s="90"/>
      <c r="CQ304" s="90"/>
      <c r="CR304" s="91"/>
      <c r="CS304" s="271" t="s">
        <v>206</v>
      </c>
      <c r="CT304" s="272"/>
      <c r="CU304" s="298">
        <v>881.25</v>
      </c>
      <c r="CV304" s="298"/>
      <c r="CW304" s="298"/>
      <c r="CX304" s="298"/>
      <c r="CY304" s="298"/>
      <c r="CZ304" s="299"/>
      <c r="DA304" s="274" t="s">
        <v>206</v>
      </c>
      <c r="DB304" s="275"/>
      <c r="DC304" s="275">
        <f t="shared" si="10"/>
        <v>881.25</v>
      </c>
      <c r="DD304" s="275"/>
      <c r="DE304" s="275"/>
      <c r="DF304" s="275"/>
      <c r="DG304" s="275"/>
      <c r="DH304" s="275"/>
      <c r="DI304" s="276"/>
      <c r="DJ304" s="262" t="s">
        <v>305</v>
      </c>
      <c r="DK304" s="90"/>
      <c r="DL304" s="90"/>
      <c r="DM304" s="90"/>
      <c r="DN304" s="90"/>
      <c r="DO304" s="90"/>
      <c r="DP304" s="90"/>
      <c r="DQ304" s="90"/>
      <c r="DR304" s="90"/>
      <c r="DS304" s="90"/>
      <c r="DT304" s="263"/>
    </row>
    <row r="305" spans="1:124">
      <c r="A305" s="288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90"/>
      <c r="N305" s="262" t="s">
        <v>737</v>
      </c>
      <c r="O305" s="90"/>
      <c r="P305" s="90"/>
      <c r="Q305" s="90"/>
      <c r="R305" s="90"/>
      <c r="S305" s="90"/>
      <c r="T305" s="90"/>
      <c r="U305" s="91"/>
      <c r="V305" s="297">
        <v>35155</v>
      </c>
      <c r="W305" s="102"/>
      <c r="X305" s="102"/>
      <c r="Y305" s="102"/>
      <c r="Z305" s="102"/>
      <c r="AA305" s="103"/>
      <c r="AB305" s="291" t="s">
        <v>252</v>
      </c>
      <c r="AC305" s="295"/>
      <c r="AD305" s="295"/>
      <c r="AE305" s="295"/>
      <c r="AF305" s="296"/>
      <c r="AG305" s="262" t="s">
        <v>756</v>
      </c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1"/>
      <c r="AW305" s="262" t="s">
        <v>767</v>
      </c>
      <c r="AX305" s="90"/>
      <c r="AY305" s="90"/>
      <c r="AZ305" s="90"/>
      <c r="BA305" s="90"/>
      <c r="BB305" s="90"/>
      <c r="BC305" s="90"/>
      <c r="BD305" s="91"/>
      <c r="BE305" s="284"/>
      <c r="BF305" s="90"/>
      <c r="BG305" s="90"/>
      <c r="BH305" s="90"/>
      <c r="BI305" s="90"/>
      <c r="BJ305" s="90"/>
      <c r="BK305" s="90"/>
      <c r="BL305" s="91"/>
      <c r="BM305" s="262" t="s">
        <v>286</v>
      </c>
      <c r="BN305" s="90"/>
      <c r="BO305" s="90"/>
      <c r="BP305" s="90"/>
      <c r="BQ305" s="90"/>
      <c r="BR305" s="90"/>
      <c r="BS305" s="90"/>
      <c r="BT305" s="91"/>
      <c r="BU305" s="262" t="s">
        <v>373</v>
      </c>
      <c r="BV305" s="90"/>
      <c r="BW305" s="90"/>
      <c r="BX305" s="90"/>
      <c r="BY305" s="90"/>
      <c r="BZ305" s="90"/>
      <c r="CA305" s="90"/>
      <c r="CB305" s="91"/>
      <c r="CC305" s="262"/>
      <c r="CD305" s="90"/>
      <c r="CE305" s="90"/>
      <c r="CF305" s="90"/>
      <c r="CG305" s="90"/>
      <c r="CH305" s="90"/>
      <c r="CI305" s="90"/>
      <c r="CJ305" s="91"/>
      <c r="CK305" s="284"/>
      <c r="CL305" s="90"/>
      <c r="CM305" s="90"/>
      <c r="CN305" s="90"/>
      <c r="CO305" s="90"/>
      <c r="CP305" s="90"/>
      <c r="CQ305" s="90"/>
      <c r="CR305" s="91"/>
      <c r="CS305" s="271" t="s">
        <v>206</v>
      </c>
      <c r="CT305" s="272"/>
      <c r="CU305" s="298">
        <v>13106</v>
      </c>
      <c r="CV305" s="298"/>
      <c r="CW305" s="298"/>
      <c r="CX305" s="298"/>
      <c r="CY305" s="298"/>
      <c r="CZ305" s="299"/>
      <c r="DA305" s="274" t="s">
        <v>206</v>
      </c>
      <c r="DB305" s="275"/>
      <c r="DC305" s="275">
        <f t="shared" si="10"/>
        <v>13106</v>
      </c>
      <c r="DD305" s="275"/>
      <c r="DE305" s="275"/>
      <c r="DF305" s="275"/>
      <c r="DG305" s="275"/>
      <c r="DH305" s="275"/>
      <c r="DI305" s="276"/>
      <c r="DJ305" s="262" t="s">
        <v>305</v>
      </c>
      <c r="DK305" s="90"/>
      <c r="DL305" s="90"/>
      <c r="DM305" s="90"/>
      <c r="DN305" s="90"/>
      <c r="DO305" s="90"/>
      <c r="DP305" s="90"/>
      <c r="DQ305" s="90"/>
      <c r="DR305" s="90"/>
      <c r="DS305" s="90"/>
      <c r="DT305" s="263"/>
    </row>
    <row r="306" spans="1:124">
      <c r="A306" s="304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85" t="s">
        <v>738</v>
      </c>
      <c r="O306" s="286"/>
      <c r="P306" s="286"/>
      <c r="Q306" s="286"/>
      <c r="R306" s="286"/>
      <c r="S306" s="286"/>
      <c r="T306" s="286"/>
      <c r="U306" s="286"/>
      <c r="V306" s="297">
        <v>36030</v>
      </c>
      <c r="W306" s="102"/>
      <c r="X306" s="102"/>
      <c r="Y306" s="102"/>
      <c r="Z306" s="102"/>
      <c r="AA306" s="103"/>
      <c r="AB306" s="312" t="s">
        <v>252</v>
      </c>
      <c r="AC306" s="313"/>
      <c r="AD306" s="313"/>
      <c r="AE306" s="313"/>
      <c r="AF306" s="313"/>
      <c r="AG306" s="357" t="s">
        <v>757</v>
      </c>
      <c r="AH306" s="358"/>
      <c r="AI306" s="358"/>
      <c r="AJ306" s="358"/>
      <c r="AK306" s="358"/>
      <c r="AL306" s="358"/>
      <c r="AM306" s="358"/>
      <c r="AN306" s="358"/>
      <c r="AO306" s="358"/>
      <c r="AP306" s="358"/>
      <c r="AQ306" s="358"/>
      <c r="AR306" s="358"/>
      <c r="AS306" s="358"/>
      <c r="AT306" s="358"/>
      <c r="AU306" s="358"/>
      <c r="AV306" s="359"/>
      <c r="AW306" s="286"/>
      <c r="AX306" s="286"/>
      <c r="AY306" s="286"/>
      <c r="AZ306" s="286"/>
      <c r="BA306" s="286"/>
      <c r="BB306" s="286"/>
      <c r="BC306" s="286"/>
      <c r="BD306" s="286"/>
      <c r="BE306" s="286"/>
      <c r="BF306" s="286"/>
      <c r="BG306" s="286"/>
      <c r="BH306" s="286"/>
      <c r="BI306" s="286"/>
      <c r="BJ306" s="286"/>
      <c r="BK306" s="286"/>
      <c r="BL306" s="286"/>
      <c r="BM306" s="262" t="s">
        <v>522</v>
      </c>
      <c r="BN306" s="90"/>
      <c r="BO306" s="90"/>
      <c r="BP306" s="90"/>
      <c r="BQ306" s="90"/>
      <c r="BR306" s="90"/>
      <c r="BS306" s="90"/>
      <c r="BT306" s="91"/>
      <c r="BU306" s="262"/>
      <c r="BV306" s="90"/>
      <c r="BW306" s="90"/>
      <c r="BX306" s="90"/>
      <c r="BY306" s="90"/>
      <c r="BZ306" s="90"/>
      <c r="CA306" s="90"/>
      <c r="CB306" s="91"/>
      <c r="CC306" s="285" t="s">
        <v>782</v>
      </c>
      <c r="CD306" s="286"/>
      <c r="CE306" s="286"/>
      <c r="CF306" s="286"/>
      <c r="CG306" s="286"/>
      <c r="CH306" s="286"/>
      <c r="CI306" s="286"/>
      <c r="CJ306" s="286"/>
      <c r="CK306" s="286"/>
      <c r="CL306" s="286"/>
      <c r="CM306" s="286"/>
      <c r="CN306" s="286"/>
      <c r="CO306" s="286"/>
      <c r="CP306" s="286"/>
      <c r="CQ306" s="286"/>
      <c r="CR306" s="286"/>
      <c r="CS306" s="271" t="s">
        <v>206</v>
      </c>
      <c r="CT306" s="272"/>
      <c r="CU306" s="298">
        <v>3300</v>
      </c>
      <c r="CV306" s="298"/>
      <c r="CW306" s="298"/>
      <c r="CX306" s="298"/>
      <c r="CY306" s="298"/>
      <c r="CZ306" s="299"/>
      <c r="DA306" s="274" t="s">
        <v>206</v>
      </c>
      <c r="DB306" s="275"/>
      <c r="DC306" s="275">
        <f t="shared" si="10"/>
        <v>3300</v>
      </c>
      <c r="DD306" s="275"/>
      <c r="DE306" s="275"/>
      <c r="DF306" s="275"/>
      <c r="DG306" s="275"/>
      <c r="DH306" s="275"/>
      <c r="DI306" s="276"/>
      <c r="DJ306" s="262" t="s">
        <v>305</v>
      </c>
      <c r="DK306" s="90"/>
      <c r="DL306" s="90"/>
      <c r="DM306" s="90"/>
      <c r="DN306" s="90"/>
      <c r="DO306" s="90"/>
      <c r="DP306" s="90"/>
      <c r="DQ306" s="90"/>
      <c r="DR306" s="90"/>
      <c r="DS306" s="90"/>
      <c r="DT306" s="263"/>
    </row>
    <row r="307" spans="1:124">
      <c r="A307" s="288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90"/>
      <c r="N307" s="260" t="s">
        <v>739</v>
      </c>
      <c r="O307" s="102"/>
      <c r="P307" s="102"/>
      <c r="Q307" s="102"/>
      <c r="R307" s="102"/>
      <c r="S307" s="102"/>
      <c r="T307" s="102"/>
      <c r="U307" s="103"/>
      <c r="V307" s="430" t="s">
        <v>858</v>
      </c>
      <c r="W307" s="102"/>
      <c r="X307" s="102"/>
      <c r="Y307" s="102"/>
      <c r="Z307" s="102"/>
      <c r="AA307" s="103"/>
      <c r="AB307" s="424" t="s">
        <v>252</v>
      </c>
      <c r="AC307" s="425"/>
      <c r="AD307" s="425"/>
      <c r="AE307" s="425"/>
      <c r="AF307" s="426"/>
      <c r="AG307" s="383" t="s">
        <v>758</v>
      </c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6"/>
      <c r="AW307" s="84"/>
      <c r="AX307" s="85"/>
      <c r="AY307" s="85"/>
      <c r="AZ307" s="85"/>
      <c r="BA307" s="85"/>
      <c r="BB307" s="85"/>
      <c r="BC307" s="85"/>
      <c r="BD307" s="86"/>
      <c r="BE307" s="84"/>
      <c r="BF307" s="85"/>
      <c r="BG307" s="85"/>
      <c r="BH307" s="85"/>
      <c r="BI307" s="85"/>
      <c r="BJ307" s="85"/>
      <c r="BK307" s="85"/>
      <c r="BL307" s="86"/>
      <c r="BM307" s="431" t="s">
        <v>522</v>
      </c>
      <c r="BN307" s="432"/>
      <c r="BO307" s="432"/>
      <c r="BP307" s="432"/>
      <c r="BQ307" s="432"/>
      <c r="BR307" s="432"/>
      <c r="BS307" s="432"/>
      <c r="BT307" s="432"/>
      <c r="BU307" s="383" t="s">
        <v>291</v>
      </c>
      <c r="BV307" s="85"/>
      <c r="BW307" s="85"/>
      <c r="BX307" s="85"/>
      <c r="BY307" s="85"/>
      <c r="BZ307" s="85"/>
      <c r="CA307" s="85"/>
      <c r="CB307" s="86"/>
      <c r="CC307" s="84"/>
      <c r="CD307" s="85"/>
      <c r="CE307" s="85"/>
      <c r="CF307" s="85"/>
      <c r="CG307" s="85"/>
      <c r="CH307" s="85"/>
      <c r="CI307" s="85"/>
      <c r="CJ307" s="86"/>
      <c r="CK307" s="84"/>
      <c r="CL307" s="85"/>
      <c r="CM307" s="85"/>
      <c r="CN307" s="85"/>
      <c r="CO307" s="85"/>
      <c r="CP307" s="85"/>
      <c r="CQ307" s="85"/>
      <c r="CR307" s="86"/>
      <c r="CS307" s="413" t="s">
        <v>206</v>
      </c>
      <c r="CT307" s="414"/>
      <c r="CU307" s="415">
        <v>0</v>
      </c>
      <c r="CV307" s="415"/>
      <c r="CW307" s="415"/>
      <c r="CX307" s="415"/>
      <c r="CY307" s="415"/>
      <c r="CZ307" s="416"/>
      <c r="DA307" s="417" t="s">
        <v>206</v>
      </c>
      <c r="DB307" s="418"/>
      <c r="DC307" s="418">
        <f t="shared" si="10"/>
        <v>0</v>
      </c>
      <c r="DD307" s="418"/>
      <c r="DE307" s="418"/>
      <c r="DF307" s="418"/>
      <c r="DG307" s="418"/>
      <c r="DH307" s="418"/>
      <c r="DI307" s="419"/>
      <c r="DJ307" s="383" t="s">
        <v>305</v>
      </c>
      <c r="DK307" s="85"/>
      <c r="DL307" s="85"/>
      <c r="DM307" s="85"/>
      <c r="DN307" s="85"/>
      <c r="DO307" s="85"/>
      <c r="DP307" s="85"/>
      <c r="DQ307" s="85"/>
      <c r="DR307" s="85"/>
      <c r="DS307" s="85"/>
      <c r="DT307" s="384"/>
    </row>
    <row r="308" spans="1:124">
      <c r="A308" s="288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90"/>
      <c r="N308" s="262" t="s">
        <v>740</v>
      </c>
      <c r="O308" s="90"/>
      <c r="P308" s="90"/>
      <c r="Q308" s="90"/>
      <c r="R308" s="90"/>
      <c r="S308" s="90"/>
      <c r="T308" s="90"/>
      <c r="U308" s="91"/>
      <c r="V308" s="297">
        <v>38179</v>
      </c>
      <c r="W308" s="102"/>
      <c r="X308" s="102"/>
      <c r="Y308" s="102"/>
      <c r="Z308" s="102"/>
      <c r="AA308" s="103"/>
      <c r="AB308" s="424" t="s">
        <v>253</v>
      </c>
      <c r="AC308" s="425"/>
      <c r="AD308" s="425"/>
      <c r="AE308" s="425"/>
      <c r="AF308" s="426"/>
      <c r="AG308" s="383" t="s">
        <v>759</v>
      </c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6"/>
      <c r="AW308" s="383"/>
      <c r="AX308" s="85"/>
      <c r="AY308" s="85"/>
      <c r="AZ308" s="85"/>
      <c r="BA308" s="85"/>
      <c r="BB308" s="85"/>
      <c r="BC308" s="85"/>
      <c r="BD308" s="86"/>
      <c r="BE308" s="383"/>
      <c r="BF308" s="85"/>
      <c r="BG308" s="85"/>
      <c r="BH308" s="85"/>
      <c r="BI308" s="85"/>
      <c r="BJ308" s="85"/>
      <c r="BK308" s="85"/>
      <c r="BL308" s="86"/>
      <c r="BM308" s="383" t="s">
        <v>761</v>
      </c>
      <c r="BN308" s="85"/>
      <c r="BO308" s="85"/>
      <c r="BP308" s="85"/>
      <c r="BQ308" s="85"/>
      <c r="BR308" s="85"/>
      <c r="BS308" s="85"/>
      <c r="BT308" s="86"/>
      <c r="BU308" s="383" t="s">
        <v>779</v>
      </c>
      <c r="BV308" s="85"/>
      <c r="BW308" s="85"/>
      <c r="BX308" s="85"/>
      <c r="BY308" s="85"/>
      <c r="BZ308" s="85"/>
      <c r="CA308" s="85"/>
      <c r="CB308" s="86"/>
      <c r="CC308" s="383"/>
      <c r="CD308" s="85"/>
      <c r="CE308" s="85"/>
      <c r="CF308" s="85"/>
      <c r="CG308" s="85"/>
      <c r="CH308" s="85"/>
      <c r="CI308" s="85"/>
      <c r="CJ308" s="86"/>
      <c r="CK308" s="383"/>
      <c r="CL308" s="85"/>
      <c r="CM308" s="85"/>
      <c r="CN308" s="85"/>
      <c r="CO308" s="85"/>
      <c r="CP308" s="85"/>
      <c r="CQ308" s="85"/>
      <c r="CR308" s="86"/>
      <c r="CS308" s="413" t="s">
        <v>206</v>
      </c>
      <c r="CT308" s="414"/>
      <c r="CU308" s="415">
        <v>0</v>
      </c>
      <c r="CV308" s="415"/>
      <c r="CW308" s="415"/>
      <c r="CX308" s="415"/>
      <c r="CY308" s="415"/>
      <c r="CZ308" s="416"/>
      <c r="DA308" s="417" t="s">
        <v>206</v>
      </c>
      <c r="DB308" s="418"/>
      <c r="DC308" s="418">
        <f t="shared" si="10"/>
        <v>0</v>
      </c>
      <c r="DD308" s="418"/>
      <c r="DE308" s="418"/>
      <c r="DF308" s="418"/>
      <c r="DG308" s="418"/>
      <c r="DH308" s="418"/>
      <c r="DI308" s="419"/>
      <c r="DJ308" s="383" t="s">
        <v>670</v>
      </c>
      <c r="DK308" s="85"/>
      <c r="DL308" s="85"/>
      <c r="DM308" s="85"/>
      <c r="DN308" s="85"/>
      <c r="DO308" s="85"/>
      <c r="DP308" s="85"/>
      <c r="DQ308" s="85"/>
      <c r="DR308" s="85"/>
      <c r="DS308" s="85"/>
      <c r="DT308" s="384"/>
    </row>
    <row r="309" spans="1:124">
      <c r="A309" s="288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90"/>
      <c r="N309" s="262" t="s">
        <v>741</v>
      </c>
      <c r="O309" s="90"/>
      <c r="P309" s="90"/>
      <c r="Q309" s="90"/>
      <c r="R309" s="90"/>
      <c r="S309" s="90"/>
      <c r="T309" s="90"/>
      <c r="U309" s="91"/>
      <c r="V309" s="297">
        <v>38540</v>
      </c>
      <c r="W309" s="102"/>
      <c r="X309" s="102"/>
      <c r="Y309" s="102"/>
      <c r="Z309" s="102"/>
      <c r="AA309" s="103"/>
      <c r="AB309" s="291" t="s">
        <v>252</v>
      </c>
      <c r="AC309" s="295"/>
      <c r="AD309" s="295"/>
      <c r="AE309" s="295"/>
      <c r="AF309" s="296"/>
      <c r="AG309" s="262" t="s">
        <v>760</v>
      </c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1"/>
      <c r="AW309" s="262" t="s">
        <v>766</v>
      </c>
      <c r="AX309" s="90"/>
      <c r="AY309" s="90"/>
      <c r="AZ309" s="90"/>
      <c r="BA309" s="90"/>
      <c r="BB309" s="90"/>
      <c r="BC309" s="90"/>
      <c r="BD309" s="91"/>
      <c r="BE309" s="262"/>
      <c r="BF309" s="90"/>
      <c r="BG309" s="90"/>
      <c r="BH309" s="90"/>
      <c r="BI309" s="90"/>
      <c r="BJ309" s="90"/>
      <c r="BK309" s="90"/>
      <c r="BL309" s="91"/>
      <c r="BM309" s="262" t="s">
        <v>774</v>
      </c>
      <c r="BN309" s="90"/>
      <c r="BO309" s="90"/>
      <c r="BP309" s="90"/>
      <c r="BQ309" s="90"/>
      <c r="BR309" s="90"/>
      <c r="BS309" s="90"/>
      <c r="BT309" s="91"/>
      <c r="BU309" s="262" t="s">
        <v>373</v>
      </c>
      <c r="BV309" s="90"/>
      <c r="BW309" s="90"/>
      <c r="BX309" s="90"/>
      <c r="BY309" s="90"/>
      <c r="BZ309" s="90"/>
      <c r="CA309" s="90"/>
      <c r="CB309" s="91"/>
      <c r="CC309" s="262" t="s">
        <v>781</v>
      </c>
      <c r="CD309" s="90"/>
      <c r="CE309" s="90"/>
      <c r="CF309" s="90"/>
      <c r="CG309" s="90"/>
      <c r="CH309" s="90"/>
      <c r="CI309" s="90"/>
      <c r="CJ309" s="91"/>
      <c r="CK309" s="262"/>
      <c r="CL309" s="90"/>
      <c r="CM309" s="90"/>
      <c r="CN309" s="90"/>
      <c r="CO309" s="90"/>
      <c r="CP309" s="90"/>
      <c r="CQ309" s="90"/>
      <c r="CR309" s="91"/>
      <c r="CS309" s="271" t="s">
        <v>206</v>
      </c>
      <c r="CT309" s="272"/>
      <c r="CU309" s="298">
        <v>8100</v>
      </c>
      <c r="CV309" s="298"/>
      <c r="CW309" s="298"/>
      <c r="CX309" s="298"/>
      <c r="CY309" s="298"/>
      <c r="CZ309" s="299"/>
      <c r="DA309" s="274" t="s">
        <v>206</v>
      </c>
      <c r="DB309" s="275"/>
      <c r="DC309" s="275">
        <f t="shared" si="10"/>
        <v>8100</v>
      </c>
      <c r="DD309" s="275"/>
      <c r="DE309" s="275"/>
      <c r="DF309" s="275"/>
      <c r="DG309" s="275"/>
      <c r="DH309" s="275"/>
      <c r="DI309" s="276"/>
      <c r="DJ309" s="383" t="s">
        <v>670</v>
      </c>
      <c r="DK309" s="85"/>
      <c r="DL309" s="85"/>
      <c r="DM309" s="85"/>
      <c r="DN309" s="85"/>
      <c r="DO309" s="85"/>
      <c r="DP309" s="85"/>
      <c r="DQ309" s="85"/>
      <c r="DR309" s="85"/>
      <c r="DS309" s="85"/>
      <c r="DT309" s="384"/>
    </row>
    <row r="310" spans="1:124">
      <c r="A310" s="304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85" t="s">
        <v>742</v>
      </c>
      <c r="O310" s="286"/>
      <c r="P310" s="286"/>
      <c r="Q310" s="286"/>
      <c r="R310" s="286"/>
      <c r="S310" s="286"/>
      <c r="T310" s="286"/>
      <c r="U310" s="286"/>
      <c r="V310" s="297">
        <v>38540</v>
      </c>
      <c r="W310" s="102"/>
      <c r="X310" s="102"/>
      <c r="Y310" s="102"/>
      <c r="Z310" s="102"/>
      <c r="AA310" s="103"/>
      <c r="AB310" s="312" t="s">
        <v>252</v>
      </c>
      <c r="AC310" s="313"/>
      <c r="AD310" s="313"/>
      <c r="AE310" s="313"/>
      <c r="AF310" s="313"/>
      <c r="AG310" s="285" t="s">
        <v>444</v>
      </c>
      <c r="AH310" s="286"/>
      <c r="AI310" s="286"/>
      <c r="AJ310" s="286"/>
      <c r="AK310" s="286"/>
      <c r="AL310" s="286"/>
      <c r="AM310" s="286"/>
      <c r="AN310" s="286"/>
      <c r="AO310" s="286"/>
      <c r="AP310" s="286"/>
      <c r="AQ310" s="286"/>
      <c r="AR310" s="286"/>
      <c r="AS310" s="286"/>
      <c r="AT310" s="286"/>
      <c r="AU310" s="286"/>
      <c r="AV310" s="286"/>
      <c r="AW310" s="285" t="s">
        <v>276</v>
      </c>
      <c r="AX310" s="286"/>
      <c r="AY310" s="286"/>
      <c r="AZ310" s="286"/>
      <c r="BA310" s="286"/>
      <c r="BB310" s="286"/>
      <c r="BC310" s="286"/>
      <c r="BD310" s="286"/>
      <c r="BE310" s="285" t="s">
        <v>772</v>
      </c>
      <c r="BF310" s="286"/>
      <c r="BG310" s="286"/>
      <c r="BH310" s="286"/>
      <c r="BI310" s="286"/>
      <c r="BJ310" s="286"/>
      <c r="BK310" s="286"/>
      <c r="BL310" s="286"/>
      <c r="BM310" s="262" t="s">
        <v>286</v>
      </c>
      <c r="BN310" s="90"/>
      <c r="BO310" s="90"/>
      <c r="BP310" s="90"/>
      <c r="BQ310" s="90"/>
      <c r="BR310" s="90"/>
      <c r="BS310" s="90"/>
      <c r="BT310" s="91"/>
      <c r="BU310" s="262" t="s">
        <v>292</v>
      </c>
      <c r="BV310" s="90"/>
      <c r="BW310" s="90"/>
      <c r="BX310" s="90"/>
      <c r="BY310" s="90"/>
      <c r="BZ310" s="90"/>
      <c r="CA310" s="90"/>
      <c r="CB310" s="91"/>
      <c r="CC310" s="285"/>
      <c r="CD310" s="286"/>
      <c r="CE310" s="286"/>
      <c r="CF310" s="286"/>
      <c r="CG310" s="286"/>
      <c r="CH310" s="286"/>
      <c r="CI310" s="286"/>
      <c r="CJ310" s="286"/>
      <c r="CK310" s="262">
        <v>182302877</v>
      </c>
      <c r="CL310" s="90"/>
      <c r="CM310" s="90"/>
      <c r="CN310" s="90"/>
      <c r="CO310" s="90"/>
      <c r="CP310" s="90"/>
      <c r="CQ310" s="90"/>
      <c r="CR310" s="91"/>
      <c r="CS310" s="271" t="s">
        <v>206</v>
      </c>
      <c r="CT310" s="272"/>
      <c r="CU310" s="298">
        <v>1880</v>
      </c>
      <c r="CV310" s="298"/>
      <c r="CW310" s="298"/>
      <c r="CX310" s="298"/>
      <c r="CY310" s="298"/>
      <c r="CZ310" s="299"/>
      <c r="DA310" s="274" t="s">
        <v>206</v>
      </c>
      <c r="DB310" s="275"/>
      <c r="DC310" s="275">
        <f t="shared" si="10"/>
        <v>1880</v>
      </c>
      <c r="DD310" s="275"/>
      <c r="DE310" s="275"/>
      <c r="DF310" s="275"/>
      <c r="DG310" s="275"/>
      <c r="DH310" s="275"/>
      <c r="DI310" s="276"/>
      <c r="DJ310" s="431" t="s">
        <v>670</v>
      </c>
      <c r="DK310" s="432"/>
      <c r="DL310" s="432"/>
      <c r="DM310" s="432"/>
      <c r="DN310" s="432"/>
      <c r="DO310" s="432"/>
      <c r="DP310" s="432"/>
      <c r="DQ310" s="432"/>
      <c r="DR310" s="432"/>
      <c r="DS310" s="432"/>
      <c r="DT310" s="433"/>
    </row>
    <row r="311" spans="1:124">
      <c r="A311" s="304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85" t="s">
        <v>743</v>
      </c>
      <c r="O311" s="286"/>
      <c r="P311" s="286"/>
      <c r="Q311" s="286"/>
      <c r="R311" s="286"/>
      <c r="S311" s="286"/>
      <c r="T311" s="286"/>
      <c r="U311" s="286"/>
      <c r="V311" s="297">
        <v>41763</v>
      </c>
      <c r="W311" s="102"/>
      <c r="X311" s="102"/>
      <c r="Y311" s="102"/>
      <c r="Z311" s="102"/>
      <c r="AA311" s="103"/>
      <c r="AB311" s="312" t="s">
        <v>252</v>
      </c>
      <c r="AC311" s="313"/>
      <c r="AD311" s="313"/>
      <c r="AE311" s="313"/>
      <c r="AF311" s="313"/>
      <c r="AG311" s="285" t="s">
        <v>445</v>
      </c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  <c r="AV311" s="286"/>
      <c r="AW311" s="285" t="s">
        <v>276</v>
      </c>
      <c r="AX311" s="286"/>
      <c r="AY311" s="286"/>
      <c r="AZ311" s="286"/>
      <c r="BA311" s="286"/>
      <c r="BB311" s="286"/>
      <c r="BC311" s="286"/>
      <c r="BD311" s="286"/>
      <c r="BE311" s="285" t="s">
        <v>772</v>
      </c>
      <c r="BF311" s="286"/>
      <c r="BG311" s="286"/>
      <c r="BH311" s="286"/>
      <c r="BI311" s="286"/>
      <c r="BJ311" s="286"/>
      <c r="BK311" s="286"/>
      <c r="BL311" s="286"/>
      <c r="BM311" s="285" t="s">
        <v>286</v>
      </c>
      <c r="BN311" s="286"/>
      <c r="BO311" s="286"/>
      <c r="BP311" s="286"/>
      <c r="BQ311" s="286"/>
      <c r="BR311" s="286"/>
      <c r="BS311" s="286"/>
      <c r="BT311" s="286"/>
      <c r="BU311" s="262" t="s">
        <v>291</v>
      </c>
      <c r="BV311" s="90"/>
      <c r="BW311" s="90"/>
      <c r="BX311" s="90"/>
      <c r="BY311" s="90"/>
      <c r="BZ311" s="90"/>
      <c r="CA311" s="90"/>
      <c r="CB311" s="91"/>
      <c r="CC311" s="286"/>
      <c r="CD311" s="286"/>
      <c r="CE311" s="286"/>
      <c r="CF311" s="286"/>
      <c r="CG311" s="286"/>
      <c r="CH311" s="286"/>
      <c r="CI311" s="286"/>
      <c r="CJ311" s="286"/>
      <c r="CK311" s="286">
        <v>962325195</v>
      </c>
      <c r="CL311" s="286"/>
      <c r="CM311" s="286"/>
      <c r="CN311" s="286"/>
      <c r="CO311" s="286"/>
      <c r="CP311" s="286"/>
      <c r="CQ311" s="286"/>
      <c r="CR311" s="286"/>
      <c r="CS311" s="271" t="s">
        <v>206</v>
      </c>
      <c r="CT311" s="272"/>
      <c r="CU311" s="298">
        <v>1880</v>
      </c>
      <c r="CV311" s="298"/>
      <c r="CW311" s="298"/>
      <c r="CX311" s="298"/>
      <c r="CY311" s="298"/>
      <c r="CZ311" s="299"/>
      <c r="DA311" s="274" t="s">
        <v>206</v>
      </c>
      <c r="DB311" s="275"/>
      <c r="DC311" s="275">
        <f t="shared" si="10"/>
        <v>1880</v>
      </c>
      <c r="DD311" s="275"/>
      <c r="DE311" s="275"/>
      <c r="DF311" s="275"/>
      <c r="DG311" s="275"/>
      <c r="DH311" s="275"/>
      <c r="DI311" s="276"/>
      <c r="DJ311" s="285" t="s">
        <v>305</v>
      </c>
      <c r="DK311" s="286"/>
      <c r="DL311" s="286"/>
      <c r="DM311" s="286"/>
      <c r="DN311" s="286"/>
      <c r="DO311" s="286"/>
      <c r="DP311" s="286"/>
      <c r="DQ311" s="286"/>
      <c r="DR311" s="286"/>
      <c r="DS311" s="286"/>
      <c r="DT311" s="287"/>
    </row>
    <row r="312" spans="1:124">
      <c r="A312" s="304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85" t="s">
        <v>744</v>
      </c>
      <c r="O312" s="286"/>
      <c r="P312" s="286"/>
      <c r="Q312" s="286"/>
      <c r="R312" s="286"/>
      <c r="S312" s="286"/>
      <c r="T312" s="286"/>
      <c r="U312" s="286"/>
      <c r="V312" s="297">
        <v>41763</v>
      </c>
      <c r="W312" s="102"/>
      <c r="X312" s="102"/>
      <c r="Y312" s="102"/>
      <c r="Z312" s="102"/>
      <c r="AA312" s="103"/>
      <c r="AB312" s="312" t="s">
        <v>252</v>
      </c>
      <c r="AC312" s="313"/>
      <c r="AD312" s="313"/>
      <c r="AE312" s="313"/>
      <c r="AF312" s="313"/>
      <c r="AG312" s="285" t="s">
        <v>761</v>
      </c>
      <c r="AH312" s="286"/>
      <c r="AI312" s="286"/>
      <c r="AJ312" s="286"/>
      <c r="AK312" s="286"/>
      <c r="AL312" s="286"/>
      <c r="AM312" s="286"/>
      <c r="AN312" s="286"/>
      <c r="AO312" s="286"/>
      <c r="AP312" s="286"/>
      <c r="AQ312" s="286"/>
      <c r="AR312" s="286"/>
      <c r="AS312" s="286"/>
      <c r="AT312" s="286"/>
      <c r="AU312" s="286"/>
      <c r="AV312" s="286"/>
      <c r="AW312" s="285" t="s">
        <v>361</v>
      </c>
      <c r="AX312" s="286"/>
      <c r="AY312" s="286"/>
      <c r="AZ312" s="286"/>
      <c r="BA312" s="286"/>
      <c r="BB312" s="286"/>
      <c r="BC312" s="286"/>
      <c r="BD312" s="286"/>
      <c r="BE312" s="286"/>
      <c r="BF312" s="286"/>
      <c r="BG312" s="286"/>
      <c r="BH312" s="286"/>
      <c r="BI312" s="286"/>
      <c r="BJ312" s="286"/>
      <c r="BK312" s="286"/>
      <c r="BL312" s="286"/>
      <c r="BM312" s="285" t="s">
        <v>761</v>
      </c>
      <c r="BN312" s="286"/>
      <c r="BO312" s="286"/>
      <c r="BP312" s="286"/>
      <c r="BQ312" s="286"/>
      <c r="BR312" s="286"/>
      <c r="BS312" s="286"/>
      <c r="BT312" s="286"/>
      <c r="BU312" s="285"/>
      <c r="BV312" s="286"/>
      <c r="BW312" s="286"/>
      <c r="BX312" s="286"/>
      <c r="BY312" s="286"/>
      <c r="BZ312" s="286"/>
      <c r="CA312" s="286"/>
      <c r="CB312" s="286"/>
      <c r="CC312" s="285" t="s">
        <v>780</v>
      </c>
      <c r="CD312" s="286"/>
      <c r="CE312" s="286"/>
      <c r="CF312" s="286"/>
      <c r="CG312" s="286"/>
      <c r="CH312" s="286"/>
      <c r="CI312" s="286"/>
      <c r="CJ312" s="286"/>
      <c r="CK312" s="286"/>
      <c r="CL312" s="286"/>
      <c r="CM312" s="286"/>
      <c r="CN312" s="286"/>
      <c r="CO312" s="286"/>
      <c r="CP312" s="286"/>
      <c r="CQ312" s="286"/>
      <c r="CR312" s="286"/>
      <c r="CS312" s="271" t="s">
        <v>206</v>
      </c>
      <c r="CT312" s="272"/>
      <c r="CU312" s="298">
        <v>4200</v>
      </c>
      <c r="CV312" s="298"/>
      <c r="CW312" s="298"/>
      <c r="CX312" s="298"/>
      <c r="CY312" s="298"/>
      <c r="CZ312" s="299"/>
      <c r="DA312" s="274" t="s">
        <v>206</v>
      </c>
      <c r="DB312" s="275"/>
      <c r="DC312" s="275">
        <f t="shared" si="10"/>
        <v>4200</v>
      </c>
      <c r="DD312" s="275"/>
      <c r="DE312" s="275"/>
      <c r="DF312" s="275"/>
      <c r="DG312" s="275"/>
      <c r="DH312" s="275"/>
      <c r="DI312" s="276"/>
      <c r="DJ312" s="285" t="s">
        <v>305</v>
      </c>
      <c r="DK312" s="286"/>
      <c r="DL312" s="286"/>
      <c r="DM312" s="286"/>
      <c r="DN312" s="286"/>
      <c r="DO312" s="286"/>
      <c r="DP312" s="286"/>
      <c r="DQ312" s="286"/>
      <c r="DR312" s="286"/>
      <c r="DS312" s="286"/>
      <c r="DT312" s="287"/>
    </row>
    <row r="313" spans="1:124">
      <c r="A313" s="304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85" t="s">
        <v>745</v>
      </c>
      <c r="O313" s="286"/>
      <c r="P313" s="286"/>
      <c r="Q313" s="286"/>
      <c r="R313" s="286"/>
      <c r="S313" s="286"/>
      <c r="T313" s="286"/>
      <c r="U313" s="286"/>
      <c r="V313" s="297">
        <v>42456</v>
      </c>
      <c r="W313" s="102"/>
      <c r="X313" s="102"/>
      <c r="Y313" s="102"/>
      <c r="Z313" s="102"/>
      <c r="AA313" s="103"/>
      <c r="AB313" s="312" t="s">
        <v>252</v>
      </c>
      <c r="AC313" s="313"/>
      <c r="AD313" s="313"/>
      <c r="AE313" s="313"/>
      <c r="AF313" s="313"/>
      <c r="AG313" s="285" t="s">
        <v>762</v>
      </c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  <c r="AV313" s="286"/>
      <c r="AW313" s="285"/>
      <c r="AX313" s="286"/>
      <c r="AY313" s="286"/>
      <c r="AZ313" s="286"/>
      <c r="BA313" s="286"/>
      <c r="BB313" s="286"/>
      <c r="BC313" s="286"/>
      <c r="BD313" s="286"/>
      <c r="BE313" s="286"/>
      <c r="BF313" s="286"/>
      <c r="BG313" s="286"/>
      <c r="BH313" s="286"/>
      <c r="BI313" s="286"/>
      <c r="BJ313" s="286"/>
      <c r="BK313" s="286"/>
      <c r="BL313" s="286"/>
      <c r="BM313" s="285" t="s">
        <v>773</v>
      </c>
      <c r="BN313" s="286"/>
      <c r="BO313" s="286"/>
      <c r="BP313" s="286"/>
      <c r="BQ313" s="286"/>
      <c r="BR313" s="286"/>
      <c r="BS313" s="286"/>
      <c r="BT313" s="286"/>
      <c r="BU313" s="285"/>
      <c r="BV313" s="286"/>
      <c r="BW313" s="286"/>
      <c r="BX313" s="286"/>
      <c r="BY313" s="286"/>
      <c r="BZ313" s="286"/>
      <c r="CA313" s="286"/>
      <c r="CB313" s="286"/>
      <c r="CC313" s="286"/>
      <c r="CD313" s="286"/>
      <c r="CE313" s="286"/>
      <c r="CF313" s="286"/>
      <c r="CG313" s="286"/>
      <c r="CH313" s="286"/>
      <c r="CI313" s="286"/>
      <c r="CJ313" s="286"/>
      <c r="CK313" s="286"/>
      <c r="CL313" s="286"/>
      <c r="CM313" s="286"/>
      <c r="CN313" s="286"/>
      <c r="CO313" s="286"/>
      <c r="CP313" s="286"/>
      <c r="CQ313" s="286"/>
      <c r="CR313" s="286"/>
      <c r="CS313" s="271" t="s">
        <v>206</v>
      </c>
      <c r="CT313" s="272"/>
      <c r="CU313" s="298">
        <v>8800</v>
      </c>
      <c r="CV313" s="298"/>
      <c r="CW313" s="298"/>
      <c r="CX313" s="298"/>
      <c r="CY313" s="298"/>
      <c r="CZ313" s="299"/>
      <c r="DA313" s="274" t="s">
        <v>206</v>
      </c>
      <c r="DB313" s="275"/>
      <c r="DC313" s="275">
        <f t="shared" si="10"/>
        <v>8800</v>
      </c>
      <c r="DD313" s="275"/>
      <c r="DE313" s="275"/>
      <c r="DF313" s="275"/>
      <c r="DG313" s="275"/>
      <c r="DH313" s="275"/>
      <c r="DI313" s="276"/>
      <c r="DJ313" s="285" t="s">
        <v>305</v>
      </c>
      <c r="DK313" s="286"/>
      <c r="DL313" s="286"/>
      <c r="DM313" s="286"/>
      <c r="DN313" s="286"/>
      <c r="DO313" s="286"/>
      <c r="DP313" s="286"/>
      <c r="DQ313" s="286"/>
      <c r="DR313" s="286"/>
      <c r="DS313" s="286"/>
      <c r="DT313" s="287"/>
    </row>
    <row r="314" spans="1:124">
      <c r="A314" s="304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85" t="s">
        <v>746</v>
      </c>
      <c r="O314" s="286"/>
      <c r="P314" s="286"/>
      <c r="Q314" s="286"/>
      <c r="R314" s="286"/>
      <c r="S314" s="286"/>
      <c r="T314" s="286"/>
      <c r="U314" s="286"/>
      <c r="V314" s="297">
        <v>42456</v>
      </c>
      <c r="W314" s="102"/>
      <c r="X314" s="102"/>
      <c r="Y314" s="102"/>
      <c r="Z314" s="102"/>
      <c r="AA314" s="103"/>
      <c r="AB314" s="312" t="s">
        <v>252</v>
      </c>
      <c r="AC314" s="313"/>
      <c r="AD314" s="313"/>
      <c r="AE314" s="313"/>
      <c r="AF314" s="313"/>
      <c r="AG314" s="285" t="s">
        <v>763</v>
      </c>
      <c r="AH314" s="286"/>
      <c r="AI314" s="286"/>
      <c r="AJ314" s="286"/>
      <c r="AK314" s="286"/>
      <c r="AL314" s="286"/>
      <c r="AM314" s="286"/>
      <c r="AN314" s="286"/>
      <c r="AO314" s="286"/>
      <c r="AP314" s="286"/>
      <c r="AQ314" s="286"/>
      <c r="AR314" s="286"/>
      <c r="AS314" s="286"/>
      <c r="AT314" s="286"/>
      <c r="AU314" s="286"/>
      <c r="AV314" s="286"/>
      <c r="AW314" s="285" t="s">
        <v>765</v>
      </c>
      <c r="AX314" s="286"/>
      <c r="AY314" s="286"/>
      <c r="AZ314" s="286"/>
      <c r="BA314" s="286"/>
      <c r="BB314" s="286"/>
      <c r="BC314" s="286"/>
      <c r="BD314" s="286"/>
      <c r="BE314" s="285"/>
      <c r="BF314" s="286"/>
      <c r="BG314" s="286"/>
      <c r="BH314" s="286"/>
      <c r="BI314" s="286"/>
      <c r="BJ314" s="286"/>
      <c r="BK314" s="286"/>
      <c r="BL314" s="286"/>
      <c r="BM314" s="285"/>
      <c r="BN314" s="286"/>
      <c r="BO314" s="286"/>
      <c r="BP314" s="286"/>
      <c r="BQ314" s="286"/>
      <c r="BR314" s="286"/>
      <c r="BS314" s="286"/>
      <c r="BT314" s="286"/>
      <c r="BU314" s="285"/>
      <c r="BV314" s="286"/>
      <c r="BW314" s="286"/>
      <c r="BX314" s="286"/>
      <c r="BY314" s="286"/>
      <c r="BZ314" s="286"/>
      <c r="CA314" s="286"/>
      <c r="CB314" s="286"/>
      <c r="CC314" s="286"/>
      <c r="CD314" s="286"/>
      <c r="CE314" s="286"/>
      <c r="CF314" s="286"/>
      <c r="CG314" s="286"/>
      <c r="CH314" s="286"/>
      <c r="CI314" s="286"/>
      <c r="CJ314" s="286"/>
      <c r="CK314" s="286"/>
      <c r="CL314" s="286"/>
      <c r="CM314" s="286"/>
      <c r="CN314" s="286"/>
      <c r="CO314" s="286"/>
      <c r="CP314" s="286"/>
      <c r="CQ314" s="286"/>
      <c r="CR314" s="286"/>
      <c r="CS314" s="271" t="s">
        <v>206</v>
      </c>
      <c r="CT314" s="272"/>
      <c r="CU314" s="298">
        <v>2350</v>
      </c>
      <c r="CV314" s="298"/>
      <c r="CW314" s="298"/>
      <c r="CX314" s="298"/>
      <c r="CY314" s="298"/>
      <c r="CZ314" s="299"/>
      <c r="DA314" s="274" t="s">
        <v>206</v>
      </c>
      <c r="DB314" s="275"/>
      <c r="DC314" s="275">
        <f t="shared" si="10"/>
        <v>2350</v>
      </c>
      <c r="DD314" s="275"/>
      <c r="DE314" s="275"/>
      <c r="DF314" s="275"/>
      <c r="DG314" s="275"/>
      <c r="DH314" s="275"/>
      <c r="DI314" s="276"/>
      <c r="DJ314" s="285" t="s">
        <v>305</v>
      </c>
      <c r="DK314" s="286"/>
      <c r="DL314" s="286"/>
      <c r="DM314" s="286"/>
      <c r="DN314" s="286"/>
      <c r="DO314" s="286"/>
      <c r="DP314" s="286"/>
      <c r="DQ314" s="286"/>
      <c r="DR314" s="286"/>
      <c r="DS314" s="286"/>
      <c r="DT314" s="287"/>
    </row>
    <row r="315" spans="1:124" ht="15" thickBot="1">
      <c r="A315" s="331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21" t="s">
        <v>747</v>
      </c>
      <c r="O315" s="322"/>
      <c r="P315" s="322"/>
      <c r="Q315" s="322"/>
      <c r="R315" s="322"/>
      <c r="S315" s="322"/>
      <c r="T315" s="322"/>
      <c r="U315" s="322"/>
      <c r="V315" s="297">
        <v>42999</v>
      </c>
      <c r="W315" s="102"/>
      <c r="X315" s="102"/>
      <c r="Y315" s="102"/>
      <c r="Z315" s="102"/>
      <c r="AA315" s="103"/>
      <c r="AB315" s="312" t="s">
        <v>252</v>
      </c>
      <c r="AC315" s="313"/>
      <c r="AD315" s="313"/>
      <c r="AE315" s="313"/>
      <c r="AF315" s="313"/>
      <c r="AG315" s="321" t="s">
        <v>760</v>
      </c>
      <c r="AH315" s="322"/>
      <c r="AI315" s="322"/>
      <c r="AJ315" s="322"/>
      <c r="AK315" s="322"/>
      <c r="AL315" s="322"/>
      <c r="AM315" s="322"/>
      <c r="AN315" s="322"/>
      <c r="AO315" s="322"/>
      <c r="AP315" s="322"/>
      <c r="AQ315" s="322"/>
      <c r="AR315" s="322"/>
      <c r="AS315" s="322"/>
      <c r="AT315" s="322"/>
      <c r="AU315" s="322"/>
      <c r="AV315" s="322"/>
      <c r="AW315" s="321" t="s">
        <v>764</v>
      </c>
      <c r="AX315" s="322"/>
      <c r="AY315" s="322"/>
      <c r="AZ315" s="322"/>
      <c r="BA315" s="322"/>
      <c r="BB315" s="322"/>
      <c r="BC315" s="322"/>
      <c r="BD315" s="322"/>
      <c r="BE315" s="321"/>
      <c r="BF315" s="322"/>
      <c r="BG315" s="322"/>
      <c r="BH315" s="322"/>
      <c r="BI315" s="322"/>
      <c r="BJ315" s="322"/>
      <c r="BK315" s="322"/>
      <c r="BL315" s="322"/>
      <c r="BM315" s="322"/>
      <c r="BN315" s="322"/>
      <c r="BO315" s="322"/>
      <c r="BP315" s="322"/>
      <c r="BQ315" s="322"/>
      <c r="BR315" s="322"/>
      <c r="BS315" s="322"/>
      <c r="BT315" s="322"/>
      <c r="BU315" s="322"/>
      <c r="BV315" s="322"/>
      <c r="BW315" s="322"/>
      <c r="BX315" s="322"/>
      <c r="BY315" s="322"/>
      <c r="BZ315" s="322"/>
      <c r="CA315" s="322"/>
      <c r="CB315" s="322"/>
      <c r="CC315" s="322"/>
      <c r="CD315" s="322"/>
      <c r="CE315" s="322"/>
      <c r="CF315" s="322"/>
      <c r="CG315" s="322"/>
      <c r="CH315" s="322"/>
      <c r="CI315" s="322"/>
      <c r="CJ315" s="322"/>
      <c r="CK315" s="322"/>
      <c r="CL315" s="322"/>
      <c r="CM315" s="322"/>
      <c r="CN315" s="322"/>
      <c r="CO315" s="322"/>
      <c r="CP315" s="322"/>
      <c r="CQ315" s="322"/>
      <c r="CR315" s="322"/>
      <c r="CS315" s="271" t="s">
        <v>206</v>
      </c>
      <c r="CT315" s="272"/>
      <c r="CU315" s="298">
        <v>9998</v>
      </c>
      <c r="CV315" s="298"/>
      <c r="CW315" s="298"/>
      <c r="CX315" s="298"/>
      <c r="CY315" s="298"/>
      <c r="CZ315" s="299"/>
      <c r="DA315" s="274" t="s">
        <v>206</v>
      </c>
      <c r="DB315" s="275"/>
      <c r="DC315" s="275">
        <f t="shared" si="10"/>
        <v>9998</v>
      </c>
      <c r="DD315" s="275"/>
      <c r="DE315" s="275"/>
      <c r="DF315" s="275"/>
      <c r="DG315" s="275"/>
      <c r="DH315" s="275"/>
      <c r="DI315" s="276"/>
      <c r="DJ315" s="285" t="s">
        <v>305</v>
      </c>
      <c r="DK315" s="286"/>
      <c r="DL315" s="286"/>
      <c r="DM315" s="286"/>
      <c r="DN315" s="286"/>
      <c r="DO315" s="286"/>
      <c r="DP315" s="286"/>
      <c r="DQ315" s="286"/>
      <c r="DR315" s="286"/>
      <c r="DS315" s="286"/>
      <c r="DT315" s="287"/>
    </row>
    <row r="316" spans="1:124" ht="21.6" thickBot="1">
      <c r="A316" s="3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323" t="s">
        <v>82</v>
      </c>
      <c r="Q316" s="323"/>
      <c r="R316" s="323"/>
      <c r="S316" s="323"/>
      <c r="T316" s="323"/>
      <c r="U316" s="323"/>
      <c r="V316" s="323"/>
      <c r="W316" s="323"/>
      <c r="X316" s="323"/>
      <c r="Y316" s="323"/>
      <c r="Z316" s="323"/>
      <c r="AA316" s="323"/>
      <c r="AB316" s="323"/>
      <c r="AC316" s="323"/>
      <c r="AD316" s="323"/>
      <c r="AE316" s="323"/>
      <c r="AF316" s="323"/>
      <c r="AG316" s="323"/>
      <c r="AH316" s="323"/>
      <c r="AI316" s="323"/>
      <c r="AJ316" s="323"/>
      <c r="AK316" s="323"/>
      <c r="AL316" s="323"/>
      <c r="AM316" s="323"/>
      <c r="AN316" s="323"/>
      <c r="AO316" s="323"/>
      <c r="AP316" s="323"/>
      <c r="AQ316" s="323"/>
      <c r="AR316" s="323"/>
      <c r="AS316" s="323"/>
      <c r="AT316" s="323"/>
      <c r="AU316" s="323"/>
      <c r="AV316" s="323"/>
      <c r="AW316" s="323"/>
      <c r="AX316" s="323"/>
      <c r="AY316" s="323"/>
      <c r="AZ316" s="323"/>
      <c r="BA316" s="323"/>
      <c r="BB316" s="323"/>
      <c r="BC316" s="323"/>
      <c r="BD316" s="323"/>
      <c r="BE316" s="323"/>
      <c r="BF316" s="323"/>
      <c r="BG316" s="323"/>
      <c r="BH316" s="323"/>
      <c r="BI316" s="323"/>
      <c r="BJ316" s="323"/>
      <c r="BK316" s="323"/>
      <c r="BL316" s="323"/>
      <c r="BM316" s="323"/>
      <c r="BN316" s="323"/>
      <c r="BO316" s="323"/>
      <c r="BP316" s="323"/>
      <c r="BQ316" s="323"/>
      <c r="BR316" s="323"/>
      <c r="BS316" s="323"/>
      <c r="BT316" s="323"/>
      <c r="BU316" s="323"/>
      <c r="BV316" s="323"/>
      <c r="BW316" s="323"/>
      <c r="BX316" s="323"/>
      <c r="BY316" s="323"/>
      <c r="BZ316" s="323"/>
      <c r="CA316" s="323"/>
      <c r="CB316" s="323"/>
      <c r="CC316" s="323"/>
      <c r="CD316" s="323"/>
      <c r="CE316" s="323"/>
      <c r="CF316" s="323"/>
      <c r="CG316" s="323"/>
      <c r="CH316" s="323"/>
      <c r="CI316" s="323"/>
      <c r="CJ316" s="323"/>
      <c r="CK316" s="323"/>
      <c r="CL316" s="323"/>
      <c r="CM316" s="323"/>
      <c r="CN316" s="323"/>
      <c r="CO316" s="323"/>
      <c r="CP316" s="323"/>
      <c r="CQ316" s="323"/>
      <c r="CR316" s="323"/>
      <c r="CS316" s="323"/>
      <c r="CT316" s="323"/>
      <c r="CU316" s="323"/>
      <c r="CV316" s="323"/>
      <c r="CW316" s="323"/>
      <c r="CX316" s="323"/>
      <c r="CY316" s="323"/>
      <c r="CZ316" s="14"/>
      <c r="DA316" s="327" t="s">
        <v>206</v>
      </c>
      <c r="DB316" s="328"/>
      <c r="DC316" s="329">
        <f>SUM(DA290:DI315)</f>
        <v>106984.5</v>
      </c>
      <c r="DD316" s="329"/>
      <c r="DE316" s="329"/>
      <c r="DF316" s="329"/>
      <c r="DG316" s="329"/>
      <c r="DH316" s="329"/>
      <c r="DI316" s="329"/>
      <c r="DJ316" s="329"/>
      <c r="DK316" s="329"/>
      <c r="DL316" s="329"/>
      <c r="DM316" s="329"/>
      <c r="DN316" s="329"/>
      <c r="DO316" s="329"/>
      <c r="DP316" s="329"/>
      <c r="DQ316" s="329"/>
      <c r="DR316" s="329"/>
      <c r="DS316" s="329"/>
      <c r="DT316" s="330"/>
    </row>
    <row r="317" spans="1:124" ht="20.39999999999999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324" t="s">
        <v>83</v>
      </c>
      <c r="DK317" s="324"/>
      <c r="DL317" s="324"/>
      <c r="DM317" s="324"/>
      <c r="DN317" s="324"/>
      <c r="DO317" s="324"/>
      <c r="DP317" s="325" t="s">
        <v>399</v>
      </c>
      <c r="DQ317" s="326"/>
      <c r="DR317" s="326"/>
      <c r="DS317" s="326"/>
      <c r="DT317" s="1"/>
    </row>
    <row r="322" spans="1:124" ht="16.8">
      <c r="A322" s="232" t="s">
        <v>61</v>
      </c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</row>
    <row r="323" spans="1:124" ht="21">
      <c r="A323" s="233" t="s">
        <v>4</v>
      </c>
      <c r="B323" s="234"/>
      <c r="C323" s="234"/>
      <c r="D323" s="234"/>
      <c r="E323" s="234"/>
      <c r="F323" s="2"/>
      <c r="G323" s="235" t="s">
        <v>197</v>
      </c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  <c r="AA323" s="235"/>
      <c r="AB323" s="235"/>
      <c r="AC323" s="235"/>
      <c r="AD323" s="235"/>
      <c r="AE323" s="236"/>
      <c r="AF323" s="233" t="s">
        <v>5</v>
      </c>
      <c r="AG323" s="234"/>
      <c r="AH323" s="234"/>
      <c r="AI323" s="234"/>
      <c r="AJ323" s="234"/>
      <c r="AK323" s="234"/>
      <c r="AL323" s="2"/>
      <c r="AM323" s="235" t="s">
        <v>6</v>
      </c>
      <c r="AN323" s="235"/>
      <c r="AO323" s="235"/>
      <c r="AP323" s="235"/>
      <c r="AQ323" s="235"/>
      <c r="AR323" s="235"/>
      <c r="AS323" s="235"/>
      <c r="AT323" s="235"/>
      <c r="AU323" s="235"/>
      <c r="AV323" s="235"/>
      <c r="AW323" s="235"/>
      <c r="AX323" s="235"/>
      <c r="AY323" s="235"/>
      <c r="AZ323" s="235"/>
      <c r="BA323" s="235"/>
      <c r="BB323" s="235"/>
      <c r="BC323" s="235"/>
      <c r="BD323" s="235"/>
      <c r="BE323" s="235"/>
      <c r="BF323" s="235"/>
      <c r="BG323" s="236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233" t="s">
        <v>8</v>
      </c>
      <c r="BV323" s="234"/>
      <c r="BW323" s="234"/>
      <c r="BX323" s="234"/>
      <c r="BY323" s="234"/>
      <c r="BZ323" s="2"/>
      <c r="CA323" s="237">
        <v>1009</v>
      </c>
      <c r="CB323" s="235"/>
      <c r="CC323" s="235"/>
      <c r="CD323" s="235"/>
      <c r="CE323" s="235"/>
      <c r="CF323" s="235"/>
      <c r="CG323" s="235"/>
      <c r="CH323" s="235"/>
      <c r="CI323" s="236"/>
      <c r="CJ323" s="233" t="s">
        <v>9</v>
      </c>
      <c r="CK323" s="234"/>
      <c r="CL323" s="234"/>
      <c r="CM323" s="234"/>
      <c r="CN323" s="234"/>
      <c r="CO323" s="2"/>
      <c r="CP323" s="237" t="s">
        <v>214</v>
      </c>
      <c r="CQ323" s="235"/>
      <c r="CR323" s="235"/>
      <c r="CS323" s="235"/>
      <c r="CT323" s="235"/>
      <c r="CU323" s="235"/>
      <c r="CV323" s="235"/>
      <c r="CW323" s="235"/>
      <c r="CX323" s="236"/>
      <c r="CY323" s="1"/>
      <c r="CZ323" s="1"/>
      <c r="DA323" s="1"/>
      <c r="DB323" s="1"/>
      <c r="DC323" s="1"/>
      <c r="DD323" s="1"/>
      <c r="DE323" s="1"/>
      <c r="DF323" s="1"/>
      <c r="DG323" s="233" t="s">
        <v>62</v>
      </c>
      <c r="DH323" s="234"/>
      <c r="DI323" s="234"/>
      <c r="DJ323" s="234"/>
      <c r="DK323" s="234"/>
      <c r="DL323" s="2"/>
      <c r="DM323" s="235">
        <v>2024</v>
      </c>
      <c r="DN323" s="235"/>
      <c r="DO323" s="235"/>
      <c r="DP323" s="235"/>
      <c r="DQ323" s="235"/>
      <c r="DR323" s="235"/>
      <c r="DS323" s="235"/>
      <c r="DT323" s="236"/>
    </row>
    <row r="324" spans="1:124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</row>
    <row r="325" spans="1:124" ht="20.399999999999999">
      <c r="A325" s="238" t="s">
        <v>63</v>
      </c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239"/>
      <c r="AP325" s="239"/>
      <c r="AQ325" s="239"/>
      <c r="AR325" s="239"/>
      <c r="AS325" s="239"/>
      <c r="AT325" s="239"/>
      <c r="AU325" s="239"/>
      <c r="AV325" s="239"/>
      <c r="AW325" s="239"/>
      <c r="AX325" s="239"/>
      <c r="AY325" s="239"/>
      <c r="AZ325" s="239"/>
      <c r="BA325" s="239"/>
      <c r="BB325" s="239"/>
      <c r="BC325" s="239"/>
      <c r="BD325" s="239"/>
      <c r="BE325" s="239"/>
      <c r="BF325" s="239"/>
      <c r="BG325" s="239"/>
      <c r="BH325" s="239"/>
      <c r="BI325" s="239"/>
      <c r="BJ325" s="239"/>
      <c r="BK325" s="239"/>
      <c r="BL325" s="239"/>
      <c r="BM325" s="239"/>
      <c r="BN325" s="239"/>
      <c r="BO325" s="239"/>
      <c r="BP325" s="239"/>
      <c r="BQ325" s="239"/>
      <c r="BR325" s="239"/>
      <c r="BS325" s="239"/>
      <c r="BT325" s="239"/>
      <c r="BU325" s="239"/>
      <c r="BV325" s="239"/>
      <c r="BW325" s="239"/>
      <c r="BX325" s="239"/>
      <c r="BY325" s="239"/>
      <c r="BZ325" s="239"/>
      <c r="CA325" s="239"/>
      <c r="CB325" s="239"/>
      <c r="CC325" s="239"/>
      <c r="CD325" s="239"/>
      <c r="CE325" s="239"/>
      <c r="CF325" s="239"/>
      <c r="CG325" s="239"/>
      <c r="CH325" s="239"/>
      <c r="CI325" s="239"/>
      <c r="CJ325" s="239"/>
      <c r="CK325" s="239"/>
      <c r="CL325" s="239"/>
      <c r="CM325" s="239"/>
      <c r="CN325" s="239"/>
      <c r="CO325" s="239"/>
      <c r="CP325" s="239"/>
      <c r="CQ325" s="239"/>
      <c r="CR325" s="239"/>
      <c r="CS325" s="239"/>
      <c r="CT325" s="239"/>
      <c r="CU325" s="239"/>
      <c r="CV325" s="239"/>
      <c r="CW325" s="239"/>
      <c r="CX325" s="239"/>
      <c r="CY325" s="239"/>
      <c r="CZ325" s="239"/>
      <c r="DA325" s="239"/>
      <c r="DB325" s="239"/>
      <c r="DC325" s="239"/>
      <c r="DD325" s="239"/>
      <c r="DE325" s="239"/>
      <c r="DF325" s="239"/>
      <c r="DG325" s="239"/>
      <c r="DH325" s="239"/>
      <c r="DI325" s="239"/>
      <c r="DJ325" s="239"/>
      <c r="DK325" s="239"/>
      <c r="DL325" s="239"/>
      <c r="DM325" s="239"/>
      <c r="DN325" s="239"/>
      <c r="DO325" s="239"/>
      <c r="DP325" s="239"/>
      <c r="DQ325" s="239"/>
      <c r="DR325" s="239"/>
      <c r="DS325" s="239"/>
      <c r="DT325" s="240"/>
    </row>
    <row r="326" spans="1:124" ht="15" thickBot="1">
      <c r="A326" s="241" t="s">
        <v>64</v>
      </c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  <c r="AA326" s="242"/>
      <c r="AB326" s="242"/>
      <c r="AC326" s="242"/>
      <c r="AD326" s="242"/>
      <c r="AE326" s="242"/>
      <c r="AF326" s="242"/>
      <c r="AG326" s="242"/>
      <c r="AH326" s="242"/>
      <c r="AI326" s="242"/>
      <c r="AJ326" s="242"/>
      <c r="AK326" s="242"/>
      <c r="AL326" s="242"/>
      <c r="AM326" s="242"/>
      <c r="AN326" s="242"/>
      <c r="AO326" s="242"/>
      <c r="AP326" s="242"/>
      <c r="AQ326" s="242"/>
      <c r="AR326" s="242"/>
      <c r="AS326" s="242"/>
      <c r="AT326" s="242"/>
      <c r="AU326" s="242"/>
      <c r="AV326" s="242"/>
      <c r="AW326" s="242"/>
      <c r="AX326" s="242"/>
      <c r="AY326" s="242"/>
      <c r="AZ326" s="242"/>
      <c r="BA326" s="242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  <c r="DL326" s="35"/>
      <c r="DM326" s="35"/>
      <c r="DN326" s="35"/>
      <c r="DO326" s="35"/>
      <c r="DP326" s="35"/>
      <c r="DQ326" s="35"/>
      <c r="DR326" s="35"/>
      <c r="DS326" s="35"/>
      <c r="DT326" s="36"/>
    </row>
    <row r="327" spans="1:124" ht="15" thickBot="1"/>
    <row r="328" spans="1:124" ht="17.399999999999999">
      <c r="A328" s="243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4"/>
      <c r="M328" s="245"/>
      <c r="N328" s="246"/>
      <c r="O328" s="244"/>
      <c r="P328" s="244"/>
      <c r="Q328" s="244"/>
      <c r="R328" s="244"/>
      <c r="S328" s="244"/>
      <c r="T328" s="244"/>
      <c r="U328" s="245"/>
      <c r="V328" s="247" t="s">
        <v>65</v>
      </c>
      <c r="W328" s="248"/>
      <c r="X328" s="248"/>
      <c r="Y328" s="248"/>
      <c r="Z328" s="248"/>
      <c r="AA328" s="249"/>
      <c r="AB328" s="246"/>
      <c r="AC328" s="244"/>
      <c r="AD328" s="244"/>
      <c r="AE328" s="244"/>
      <c r="AF328" s="245"/>
      <c r="AG328" s="246"/>
      <c r="AH328" s="244"/>
      <c r="AI328" s="244"/>
      <c r="AJ328" s="244"/>
      <c r="AK328" s="244"/>
      <c r="AL328" s="244"/>
      <c r="AM328" s="244"/>
      <c r="AN328" s="244"/>
      <c r="AO328" s="244"/>
      <c r="AP328" s="244"/>
      <c r="AQ328" s="244"/>
      <c r="AR328" s="244"/>
      <c r="AS328" s="244"/>
      <c r="AT328" s="244"/>
      <c r="AU328" s="244"/>
      <c r="AV328" s="245"/>
      <c r="AW328" s="250" t="s">
        <v>66</v>
      </c>
      <c r="AX328" s="251"/>
      <c r="AY328" s="251"/>
      <c r="AZ328" s="251"/>
      <c r="BA328" s="251"/>
      <c r="BB328" s="251"/>
      <c r="BC328" s="251"/>
      <c r="BD328" s="251"/>
      <c r="BE328" s="251"/>
      <c r="BF328" s="251"/>
      <c r="BG328" s="251"/>
      <c r="BH328" s="251"/>
      <c r="BI328" s="251"/>
      <c r="BJ328" s="251"/>
      <c r="BK328" s="251"/>
      <c r="BL328" s="251"/>
      <c r="BM328" s="251"/>
      <c r="BN328" s="251"/>
      <c r="BO328" s="251"/>
      <c r="BP328" s="251"/>
      <c r="BQ328" s="251"/>
      <c r="BR328" s="251"/>
      <c r="BS328" s="251"/>
      <c r="BT328" s="251"/>
      <c r="BU328" s="251"/>
      <c r="BV328" s="251"/>
      <c r="BW328" s="251"/>
      <c r="BX328" s="251"/>
      <c r="BY328" s="251"/>
      <c r="BZ328" s="251"/>
      <c r="CA328" s="251"/>
      <c r="CB328" s="251"/>
      <c r="CC328" s="251"/>
      <c r="CD328" s="251"/>
      <c r="CE328" s="251"/>
      <c r="CF328" s="251"/>
      <c r="CG328" s="251"/>
      <c r="CH328" s="251"/>
      <c r="CI328" s="251"/>
      <c r="CJ328" s="251"/>
      <c r="CK328" s="251"/>
      <c r="CL328" s="251"/>
      <c r="CM328" s="251"/>
      <c r="CN328" s="251"/>
      <c r="CO328" s="251"/>
      <c r="CP328" s="251"/>
      <c r="CQ328" s="251"/>
      <c r="CR328" s="252"/>
      <c r="CS328" s="246"/>
      <c r="CT328" s="244"/>
      <c r="CU328" s="244"/>
      <c r="CV328" s="244"/>
      <c r="CW328" s="244"/>
      <c r="CX328" s="244"/>
      <c r="CY328" s="244"/>
      <c r="CZ328" s="245"/>
      <c r="DA328" s="246"/>
      <c r="DB328" s="244"/>
      <c r="DC328" s="244"/>
      <c r="DD328" s="244"/>
      <c r="DE328" s="244"/>
      <c r="DF328" s="244"/>
      <c r="DG328" s="244"/>
      <c r="DH328" s="244"/>
      <c r="DI328" s="245"/>
      <c r="DJ328" s="246"/>
      <c r="DK328" s="244"/>
      <c r="DL328" s="244"/>
      <c r="DM328" s="244"/>
      <c r="DN328" s="244"/>
      <c r="DO328" s="244"/>
      <c r="DP328" s="244"/>
      <c r="DQ328" s="244"/>
      <c r="DR328" s="244"/>
      <c r="DS328" s="244"/>
      <c r="DT328" s="253"/>
    </row>
    <row r="329" spans="1:124">
      <c r="A329" s="264" t="s">
        <v>67</v>
      </c>
      <c r="B329" s="257"/>
      <c r="C329" s="257"/>
      <c r="D329" s="257"/>
      <c r="E329" s="257"/>
      <c r="F329" s="257"/>
      <c r="G329" s="257"/>
      <c r="H329" s="257"/>
      <c r="I329" s="257"/>
      <c r="J329" s="257"/>
      <c r="K329" s="257"/>
      <c r="L329" s="257"/>
      <c r="M329" s="258"/>
      <c r="N329" s="256" t="s">
        <v>68</v>
      </c>
      <c r="O329" s="257"/>
      <c r="P329" s="257"/>
      <c r="Q329" s="257"/>
      <c r="R329" s="257"/>
      <c r="S329" s="257"/>
      <c r="T329" s="257"/>
      <c r="U329" s="258"/>
      <c r="V329" s="265" t="s">
        <v>69</v>
      </c>
      <c r="W329" s="266"/>
      <c r="X329" s="266"/>
      <c r="Y329" s="266"/>
      <c r="Z329" s="266"/>
      <c r="AA329" s="267"/>
      <c r="AB329" s="268" t="s">
        <v>70</v>
      </c>
      <c r="AC329" s="269"/>
      <c r="AD329" s="269"/>
      <c r="AE329" s="269"/>
      <c r="AF329" s="270"/>
      <c r="AG329" s="256" t="s">
        <v>71</v>
      </c>
      <c r="AH329" s="257"/>
      <c r="AI329" s="257"/>
      <c r="AJ329" s="257"/>
      <c r="AK329" s="257"/>
      <c r="AL329" s="257"/>
      <c r="AM329" s="257"/>
      <c r="AN329" s="257"/>
      <c r="AO329" s="257"/>
      <c r="AP329" s="257"/>
      <c r="AQ329" s="257"/>
      <c r="AR329" s="257"/>
      <c r="AS329" s="257"/>
      <c r="AT329" s="257"/>
      <c r="AU329" s="257"/>
      <c r="AV329" s="258"/>
      <c r="AW329" s="283" t="s">
        <v>72</v>
      </c>
      <c r="AX329" s="254"/>
      <c r="AY329" s="254"/>
      <c r="AZ329" s="254"/>
      <c r="BA329" s="254"/>
      <c r="BB329" s="254"/>
      <c r="BC329" s="254"/>
      <c r="BD329" s="254"/>
      <c r="BE329" s="254" t="s">
        <v>73</v>
      </c>
      <c r="BF329" s="254"/>
      <c r="BG329" s="254"/>
      <c r="BH329" s="254"/>
      <c r="BI329" s="254"/>
      <c r="BJ329" s="254"/>
      <c r="BK329" s="254"/>
      <c r="BL329" s="254"/>
      <c r="BM329" s="254" t="s">
        <v>74</v>
      </c>
      <c r="BN329" s="254"/>
      <c r="BO329" s="254"/>
      <c r="BP329" s="254"/>
      <c r="BQ329" s="254"/>
      <c r="BR329" s="254"/>
      <c r="BS329" s="254"/>
      <c r="BT329" s="254"/>
      <c r="BU329" s="254" t="s">
        <v>75</v>
      </c>
      <c r="BV329" s="254"/>
      <c r="BW329" s="254"/>
      <c r="BX329" s="254"/>
      <c r="BY329" s="254"/>
      <c r="BZ329" s="254"/>
      <c r="CA329" s="254"/>
      <c r="CB329" s="254"/>
      <c r="CC329" s="254" t="s">
        <v>76</v>
      </c>
      <c r="CD329" s="254"/>
      <c r="CE329" s="254"/>
      <c r="CF329" s="254"/>
      <c r="CG329" s="254"/>
      <c r="CH329" s="254"/>
      <c r="CI329" s="254"/>
      <c r="CJ329" s="254"/>
      <c r="CK329" s="254" t="s">
        <v>77</v>
      </c>
      <c r="CL329" s="254"/>
      <c r="CM329" s="254"/>
      <c r="CN329" s="254"/>
      <c r="CO329" s="254"/>
      <c r="CP329" s="254"/>
      <c r="CQ329" s="254"/>
      <c r="CR329" s="255"/>
      <c r="CS329" s="256" t="s">
        <v>78</v>
      </c>
      <c r="CT329" s="257"/>
      <c r="CU329" s="257"/>
      <c r="CV329" s="257"/>
      <c r="CW329" s="257"/>
      <c r="CX329" s="257"/>
      <c r="CY329" s="257"/>
      <c r="CZ329" s="258"/>
      <c r="DA329" s="256" t="s">
        <v>79</v>
      </c>
      <c r="DB329" s="257"/>
      <c r="DC329" s="257"/>
      <c r="DD329" s="257"/>
      <c r="DE329" s="257"/>
      <c r="DF329" s="257"/>
      <c r="DG329" s="257"/>
      <c r="DH329" s="257"/>
      <c r="DI329" s="258"/>
      <c r="DJ329" s="256" t="s">
        <v>80</v>
      </c>
      <c r="DK329" s="257"/>
      <c r="DL329" s="257"/>
      <c r="DM329" s="257"/>
      <c r="DN329" s="257"/>
      <c r="DO329" s="257"/>
      <c r="DP329" s="257"/>
      <c r="DQ329" s="257"/>
      <c r="DR329" s="257"/>
      <c r="DS329" s="257"/>
      <c r="DT329" s="259"/>
    </row>
    <row r="330" spans="1:124">
      <c r="A330" s="288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90"/>
      <c r="N330" s="434" t="s">
        <v>793</v>
      </c>
      <c r="O330" s="278"/>
      <c r="P330" s="278"/>
      <c r="Q330" s="278"/>
      <c r="R330" s="278"/>
      <c r="S330" s="278"/>
      <c r="T330" s="278"/>
      <c r="U330" s="279"/>
      <c r="V330" s="297">
        <v>42999</v>
      </c>
      <c r="W330" s="102"/>
      <c r="X330" s="102"/>
      <c r="Y330" s="102"/>
      <c r="Z330" s="102"/>
      <c r="AA330" s="103"/>
      <c r="AB330" s="280" t="s">
        <v>252</v>
      </c>
      <c r="AC330" s="281"/>
      <c r="AD330" s="281"/>
      <c r="AE330" s="281"/>
      <c r="AF330" s="282"/>
      <c r="AG330" s="260" t="s">
        <v>799</v>
      </c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3"/>
      <c r="AW330" s="261"/>
      <c r="AX330" s="102"/>
      <c r="AY330" s="102"/>
      <c r="AZ330" s="102"/>
      <c r="BA330" s="102"/>
      <c r="BB330" s="102"/>
      <c r="BC330" s="102"/>
      <c r="BD330" s="103"/>
      <c r="BE330" s="261"/>
      <c r="BF330" s="102"/>
      <c r="BG330" s="102"/>
      <c r="BH330" s="102"/>
      <c r="BI330" s="102"/>
      <c r="BJ330" s="102"/>
      <c r="BK330" s="102"/>
      <c r="BL330" s="103"/>
      <c r="BM330" s="261"/>
      <c r="BN330" s="102"/>
      <c r="BO330" s="102"/>
      <c r="BP330" s="102"/>
      <c r="BQ330" s="102"/>
      <c r="BR330" s="102"/>
      <c r="BS330" s="102"/>
      <c r="BT330" s="103"/>
      <c r="BU330" s="260"/>
      <c r="BV330" s="102"/>
      <c r="BW330" s="102"/>
      <c r="BX330" s="102"/>
      <c r="BY330" s="102"/>
      <c r="BZ330" s="102"/>
      <c r="CA330" s="102"/>
      <c r="CB330" s="103"/>
      <c r="CC330" s="261"/>
      <c r="CD330" s="102"/>
      <c r="CE330" s="102"/>
      <c r="CF330" s="102"/>
      <c r="CG330" s="102"/>
      <c r="CH330" s="102"/>
      <c r="CI330" s="102"/>
      <c r="CJ330" s="103"/>
      <c r="CK330" s="337"/>
      <c r="CL330" s="338"/>
      <c r="CM330" s="338"/>
      <c r="CN330" s="338"/>
      <c r="CO330" s="338"/>
      <c r="CP330" s="338"/>
      <c r="CQ330" s="338"/>
      <c r="CR330" s="339"/>
      <c r="CS330" s="271" t="s">
        <v>206</v>
      </c>
      <c r="CT330" s="272"/>
      <c r="CU330" s="298">
        <v>10000</v>
      </c>
      <c r="CV330" s="298"/>
      <c r="CW330" s="298"/>
      <c r="CX330" s="298"/>
      <c r="CY330" s="298"/>
      <c r="CZ330" s="299"/>
      <c r="DA330" s="274" t="s">
        <v>206</v>
      </c>
      <c r="DB330" s="275"/>
      <c r="DC330" s="275">
        <f t="shared" ref="DC330:DC340" si="12">+AB330*CU330</f>
        <v>10000</v>
      </c>
      <c r="DD330" s="275"/>
      <c r="DE330" s="275"/>
      <c r="DF330" s="275"/>
      <c r="DG330" s="275"/>
      <c r="DH330" s="275"/>
      <c r="DI330" s="276"/>
      <c r="DJ330" s="260" t="s">
        <v>305</v>
      </c>
      <c r="DK330" s="102"/>
      <c r="DL330" s="102"/>
      <c r="DM330" s="102"/>
      <c r="DN330" s="102"/>
      <c r="DO330" s="102"/>
      <c r="DP330" s="102"/>
      <c r="DQ330" s="102"/>
      <c r="DR330" s="102"/>
      <c r="DS330" s="102"/>
      <c r="DT330" s="340"/>
    </row>
    <row r="331" spans="1:124">
      <c r="A331" s="346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90"/>
      <c r="N331" s="435" t="s">
        <v>792</v>
      </c>
      <c r="O331" s="278"/>
      <c r="P331" s="278"/>
      <c r="Q331" s="278"/>
      <c r="R331" s="278"/>
      <c r="S331" s="278"/>
      <c r="T331" s="278"/>
      <c r="U331" s="279"/>
      <c r="V331" s="297">
        <v>42999</v>
      </c>
      <c r="W331" s="102"/>
      <c r="X331" s="102"/>
      <c r="Y331" s="102"/>
      <c r="Z331" s="102"/>
      <c r="AA331" s="103"/>
      <c r="AB331" s="291" t="s">
        <v>252</v>
      </c>
      <c r="AC331" s="295"/>
      <c r="AD331" s="295"/>
      <c r="AE331" s="295"/>
      <c r="AF331" s="296"/>
      <c r="AG331" s="436" t="s">
        <v>800</v>
      </c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1"/>
      <c r="AW331" s="284"/>
      <c r="AX331" s="90"/>
      <c r="AY331" s="90"/>
      <c r="AZ331" s="90"/>
      <c r="BA331" s="90"/>
      <c r="BB331" s="90"/>
      <c r="BC331" s="90"/>
      <c r="BD331" s="91"/>
      <c r="BE331" s="284"/>
      <c r="BF331" s="90"/>
      <c r="BG331" s="90"/>
      <c r="BH331" s="90"/>
      <c r="BI331" s="90"/>
      <c r="BJ331" s="90"/>
      <c r="BK331" s="90"/>
      <c r="BL331" s="91"/>
      <c r="BM331" s="284"/>
      <c r="BN331" s="90"/>
      <c r="BO331" s="90"/>
      <c r="BP331" s="90"/>
      <c r="BQ331" s="90"/>
      <c r="BR331" s="90"/>
      <c r="BS331" s="90"/>
      <c r="BT331" s="91"/>
      <c r="BU331" s="262"/>
      <c r="BV331" s="90"/>
      <c r="BW331" s="90"/>
      <c r="BX331" s="90"/>
      <c r="BY331" s="90"/>
      <c r="BZ331" s="90"/>
      <c r="CA331" s="90"/>
      <c r="CB331" s="91"/>
      <c r="CC331" s="284"/>
      <c r="CD331" s="90"/>
      <c r="CE331" s="90"/>
      <c r="CF331" s="90"/>
      <c r="CG331" s="90"/>
      <c r="CH331" s="90"/>
      <c r="CI331" s="90"/>
      <c r="CJ331" s="91"/>
      <c r="CK331" s="284"/>
      <c r="CL331" s="90"/>
      <c r="CM331" s="90"/>
      <c r="CN331" s="90"/>
      <c r="CO331" s="90"/>
      <c r="CP331" s="90"/>
      <c r="CQ331" s="90"/>
      <c r="CR331" s="91"/>
      <c r="CS331" s="271" t="s">
        <v>206</v>
      </c>
      <c r="CT331" s="272"/>
      <c r="CU331" s="298">
        <v>19200</v>
      </c>
      <c r="CV331" s="298"/>
      <c r="CW331" s="298"/>
      <c r="CX331" s="298"/>
      <c r="CY331" s="298"/>
      <c r="CZ331" s="299"/>
      <c r="DA331" s="274" t="s">
        <v>206</v>
      </c>
      <c r="DB331" s="275"/>
      <c r="DC331" s="275">
        <f t="shared" si="12"/>
        <v>19200</v>
      </c>
      <c r="DD331" s="275"/>
      <c r="DE331" s="275"/>
      <c r="DF331" s="275"/>
      <c r="DG331" s="275"/>
      <c r="DH331" s="275"/>
      <c r="DI331" s="276"/>
      <c r="DJ331" s="262" t="s">
        <v>305</v>
      </c>
      <c r="DK331" s="90"/>
      <c r="DL331" s="90"/>
      <c r="DM331" s="90"/>
      <c r="DN331" s="90"/>
      <c r="DO331" s="90"/>
      <c r="DP331" s="90"/>
      <c r="DQ331" s="90"/>
      <c r="DR331" s="90"/>
      <c r="DS331" s="90"/>
      <c r="DT331" s="263"/>
    </row>
    <row r="332" spans="1:124">
      <c r="A332" s="306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90"/>
      <c r="N332" s="435" t="s">
        <v>791</v>
      </c>
      <c r="O332" s="278"/>
      <c r="P332" s="278"/>
      <c r="Q332" s="278"/>
      <c r="R332" s="278"/>
      <c r="S332" s="278"/>
      <c r="T332" s="278"/>
      <c r="U332" s="279"/>
      <c r="V332" s="297">
        <v>42999</v>
      </c>
      <c r="W332" s="102"/>
      <c r="X332" s="102"/>
      <c r="Y332" s="102"/>
      <c r="Z332" s="102"/>
      <c r="AA332" s="103"/>
      <c r="AB332" s="291" t="s">
        <v>252</v>
      </c>
      <c r="AC332" s="295"/>
      <c r="AD332" s="295"/>
      <c r="AE332" s="295"/>
      <c r="AF332" s="296"/>
      <c r="AG332" s="262" t="s">
        <v>801</v>
      </c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1"/>
      <c r="AW332" s="284"/>
      <c r="AX332" s="90"/>
      <c r="AY332" s="90"/>
      <c r="AZ332" s="90"/>
      <c r="BA332" s="90"/>
      <c r="BB332" s="90"/>
      <c r="BC332" s="90"/>
      <c r="BD332" s="91"/>
      <c r="BE332" s="284"/>
      <c r="BF332" s="90"/>
      <c r="BG332" s="90"/>
      <c r="BH332" s="90"/>
      <c r="BI332" s="90"/>
      <c r="BJ332" s="90"/>
      <c r="BK332" s="90"/>
      <c r="BL332" s="91"/>
      <c r="BM332" s="284"/>
      <c r="BN332" s="90"/>
      <c r="BO332" s="90"/>
      <c r="BP332" s="90"/>
      <c r="BQ332" s="90"/>
      <c r="BR332" s="90"/>
      <c r="BS332" s="90"/>
      <c r="BT332" s="91"/>
      <c r="BU332" s="284"/>
      <c r="BV332" s="90"/>
      <c r="BW332" s="90"/>
      <c r="BX332" s="90"/>
      <c r="BY332" s="90"/>
      <c r="BZ332" s="90"/>
      <c r="CA332" s="90"/>
      <c r="CB332" s="91"/>
      <c r="CC332" s="284"/>
      <c r="CD332" s="90"/>
      <c r="CE332" s="90"/>
      <c r="CF332" s="90"/>
      <c r="CG332" s="90"/>
      <c r="CH332" s="90"/>
      <c r="CI332" s="90"/>
      <c r="CJ332" s="91"/>
      <c r="CK332" s="284"/>
      <c r="CL332" s="90"/>
      <c r="CM332" s="90"/>
      <c r="CN332" s="90"/>
      <c r="CO332" s="90"/>
      <c r="CP332" s="90"/>
      <c r="CQ332" s="90"/>
      <c r="CR332" s="91"/>
      <c r="CS332" s="271" t="s">
        <v>206</v>
      </c>
      <c r="CT332" s="272"/>
      <c r="CU332" s="298">
        <v>1440</v>
      </c>
      <c r="CV332" s="298"/>
      <c r="CW332" s="298"/>
      <c r="CX332" s="298"/>
      <c r="CY332" s="298"/>
      <c r="CZ332" s="299"/>
      <c r="DA332" s="274" t="s">
        <v>206</v>
      </c>
      <c r="DB332" s="275"/>
      <c r="DC332" s="275">
        <f t="shared" si="12"/>
        <v>1440</v>
      </c>
      <c r="DD332" s="275"/>
      <c r="DE332" s="275"/>
      <c r="DF332" s="275"/>
      <c r="DG332" s="275"/>
      <c r="DH332" s="275"/>
      <c r="DI332" s="276"/>
      <c r="DJ332" s="262" t="s">
        <v>305</v>
      </c>
      <c r="DK332" s="90"/>
      <c r="DL332" s="90"/>
      <c r="DM332" s="90"/>
      <c r="DN332" s="90"/>
      <c r="DO332" s="90"/>
      <c r="DP332" s="90"/>
      <c r="DQ332" s="90"/>
      <c r="DR332" s="90"/>
      <c r="DS332" s="90"/>
      <c r="DT332" s="263"/>
    </row>
    <row r="333" spans="1:124">
      <c r="A333" s="308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435" t="s">
        <v>790</v>
      </c>
      <c r="O333" s="278"/>
      <c r="P333" s="278"/>
      <c r="Q333" s="278"/>
      <c r="R333" s="278"/>
      <c r="S333" s="278"/>
      <c r="T333" s="278"/>
      <c r="U333" s="279"/>
      <c r="V333" s="311">
        <v>43734</v>
      </c>
      <c r="W333" s="347"/>
      <c r="X333" s="347"/>
      <c r="Y333" s="347"/>
      <c r="Z333" s="347"/>
      <c r="AA333" s="348"/>
      <c r="AB333" s="312" t="s">
        <v>252</v>
      </c>
      <c r="AC333" s="313"/>
      <c r="AD333" s="313"/>
      <c r="AE333" s="313"/>
      <c r="AF333" s="313"/>
      <c r="AG333" s="285" t="s">
        <v>703</v>
      </c>
      <c r="AH333" s="286"/>
      <c r="AI333" s="286"/>
      <c r="AJ333" s="286"/>
      <c r="AK333" s="286"/>
      <c r="AL333" s="286"/>
      <c r="AM333" s="286"/>
      <c r="AN333" s="286"/>
      <c r="AO333" s="286"/>
      <c r="AP333" s="286"/>
      <c r="AQ333" s="286"/>
      <c r="AR333" s="286"/>
      <c r="AS333" s="286"/>
      <c r="AT333" s="286"/>
      <c r="AU333" s="286"/>
      <c r="AV333" s="286"/>
      <c r="AW333" s="285" t="s">
        <v>804</v>
      </c>
      <c r="AX333" s="286"/>
      <c r="AY333" s="286"/>
      <c r="AZ333" s="286"/>
      <c r="BA333" s="286"/>
      <c r="BB333" s="286"/>
      <c r="BC333" s="286"/>
      <c r="BD333" s="286"/>
      <c r="BE333" s="285"/>
      <c r="BF333" s="286"/>
      <c r="BG333" s="286"/>
      <c r="BH333" s="286"/>
      <c r="BI333" s="286"/>
      <c r="BJ333" s="286"/>
      <c r="BK333" s="286"/>
      <c r="BL333" s="286"/>
      <c r="BM333" s="286"/>
      <c r="BN333" s="286"/>
      <c r="BO333" s="286"/>
      <c r="BP333" s="286"/>
      <c r="BQ333" s="286"/>
      <c r="BR333" s="286"/>
      <c r="BS333" s="286"/>
      <c r="BT333" s="286"/>
      <c r="BU333" s="285"/>
      <c r="BV333" s="286"/>
      <c r="BW333" s="286"/>
      <c r="BX333" s="286"/>
      <c r="BY333" s="286"/>
      <c r="BZ333" s="286"/>
      <c r="CA333" s="286"/>
      <c r="CB333" s="286"/>
      <c r="CC333" s="286"/>
      <c r="CD333" s="286"/>
      <c r="CE333" s="286"/>
      <c r="CF333" s="286"/>
      <c r="CG333" s="286"/>
      <c r="CH333" s="286"/>
      <c r="CI333" s="286"/>
      <c r="CJ333" s="286"/>
      <c r="CK333" s="341"/>
      <c r="CL333" s="342"/>
      <c r="CM333" s="342"/>
      <c r="CN333" s="342"/>
      <c r="CO333" s="342"/>
      <c r="CP333" s="342"/>
      <c r="CQ333" s="342"/>
      <c r="CR333" s="343"/>
      <c r="CS333" s="271" t="s">
        <v>206</v>
      </c>
      <c r="CT333" s="272"/>
      <c r="CU333" s="298">
        <v>6000</v>
      </c>
      <c r="CV333" s="298"/>
      <c r="CW333" s="298"/>
      <c r="CX333" s="298"/>
      <c r="CY333" s="298"/>
      <c r="CZ333" s="299"/>
      <c r="DA333" s="274" t="s">
        <v>206</v>
      </c>
      <c r="DB333" s="275"/>
      <c r="DC333" s="275">
        <f t="shared" si="12"/>
        <v>6000</v>
      </c>
      <c r="DD333" s="275"/>
      <c r="DE333" s="275"/>
      <c r="DF333" s="275"/>
      <c r="DG333" s="275"/>
      <c r="DH333" s="275"/>
      <c r="DI333" s="276"/>
      <c r="DJ333" s="285" t="s">
        <v>305</v>
      </c>
      <c r="DK333" s="286"/>
      <c r="DL333" s="286"/>
      <c r="DM333" s="286"/>
      <c r="DN333" s="286"/>
      <c r="DO333" s="286"/>
      <c r="DP333" s="286"/>
      <c r="DQ333" s="286"/>
      <c r="DR333" s="286"/>
      <c r="DS333" s="286"/>
      <c r="DT333" s="287"/>
    </row>
    <row r="334" spans="1:124">
      <c r="A334" s="304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435" t="s">
        <v>789</v>
      </c>
      <c r="O334" s="278"/>
      <c r="P334" s="278"/>
      <c r="Q334" s="278"/>
      <c r="R334" s="278"/>
      <c r="S334" s="278"/>
      <c r="T334" s="278"/>
      <c r="U334" s="279"/>
      <c r="V334" s="311">
        <v>43734</v>
      </c>
      <c r="W334" s="347"/>
      <c r="X334" s="347"/>
      <c r="Y334" s="347"/>
      <c r="Z334" s="347"/>
      <c r="AA334" s="348"/>
      <c r="AB334" s="312" t="s">
        <v>252</v>
      </c>
      <c r="AC334" s="313"/>
      <c r="AD334" s="313"/>
      <c r="AE334" s="313"/>
      <c r="AF334" s="313"/>
      <c r="AG334" s="285" t="s">
        <v>802</v>
      </c>
      <c r="AH334" s="286"/>
      <c r="AI334" s="286"/>
      <c r="AJ334" s="286"/>
      <c r="AK334" s="286"/>
      <c r="AL334" s="286"/>
      <c r="AM334" s="286"/>
      <c r="AN334" s="286"/>
      <c r="AO334" s="286"/>
      <c r="AP334" s="286"/>
      <c r="AQ334" s="286"/>
      <c r="AR334" s="286"/>
      <c r="AS334" s="286"/>
      <c r="AT334" s="286"/>
      <c r="AU334" s="286"/>
      <c r="AV334" s="286"/>
      <c r="AW334" s="285"/>
      <c r="AX334" s="286"/>
      <c r="AY334" s="286"/>
      <c r="AZ334" s="286"/>
      <c r="BA334" s="286"/>
      <c r="BB334" s="286"/>
      <c r="BC334" s="286"/>
      <c r="BD334" s="286"/>
      <c r="BE334" s="286"/>
      <c r="BF334" s="286"/>
      <c r="BG334" s="286"/>
      <c r="BH334" s="286"/>
      <c r="BI334" s="286"/>
      <c r="BJ334" s="286"/>
      <c r="BK334" s="286"/>
      <c r="BL334" s="286"/>
      <c r="BM334" s="286"/>
      <c r="BN334" s="286"/>
      <c r="BO334" s="286"/>
      <c r="BP334" s="286"/>
      <c r="BQ334" s="286"/>
      <c r="BR334" s="286"/>
      <c r="BS334" s="286"/>
      <c r="BT334" s="286"/>
      <c r="BU334" s="286"/>
      <c r="BV334" s="286"/>
      <c r="BW334" s="286"/>
      <c r="BX334" s="286"/>
      <c r="BY334" s="286"/>
      <c r="BZ334" s="286"/>
      <c r="CA334" s="286"/>
      <c r="CB334" s="286"/>
      <c r="CC334" s="285" t="s">
        <v>808</v>
      </c>
      <c r="CD334" s="286"/>
      <c r="CE334" s="286"/>
      <c r="CF334" s="286"/>
      <c r="CG334" s="286"/>
      <c r="CH334" s="286"/>
      <c r="CI334" s="286"/>
      <c r="CJ334" s="286"/>
      <c r="CK334" s="341"/>
      <c r="CL334" s="342"/>
      <c r="CM334" s="342"/>
      <c r="CN334" s="342"/>
      <c r="CO334" s="342"/>
      <c r="CP334" s="342"/>
      <c r="CQ334" s="342"/>
      <c r="CR334" s="343"/>
      <c r="CS334" s="271" t="s">
        <v>206</v>
      </c>
      <c r="CT334" s="272"/>
      <c r="CU334" s="298">
        <v>500</v>
      </c>
      <c r="CV334" s="298"/>
      <c r="CW334" s="298"/>
      <c r="CX334" s="298"/>
      <c r="CY334" s="298"/>
      <c r="CZ334" s="299"/>
      <c r="DA334" s="274" t="s">
        <v>206</v>
      </c>
      <c r="DB334" s="275"/>
      <c r="DC334" s="275">
        <f t="shared" si="12"/>
        <v>500</v>
      </c>
      <c r="DD334" s="275"/>
      <c r="DE334" s="275"/>
      <c r="DF334" s="275"/>
      <c r="DG334" s="275"/>
      <c r="DH334" s="275"/>
      <c r="DI334" s="276"/>
      <c r="DJ334" s="285" t="s">
        <v>305</v>
      </c>
      <c r="DK334" s="286"/>
      <c r="DL334" s="286"/>
      <c r="DM334" s="286"/>
      <c r="DN334" s="286"/>
      <c r="DO334" s="286"/>
      <c r="DP334" s="286"/>
      <c r="DQ334" s="286"/>
      <c r="DR334" s="286"/>
      <c r="DS334" s="286"/>
      <c r="DT334" s="287"/>
    </row>
    <row r="335" spans="1:124">
      <c r="A335" s="308" t="s">
        <v>785</v>
      </c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435" t="s">
        <v>788</v>
      </c>
      <c r="O335" s="278"/>
      <c r="P335" s="278"/>
      <c r="Q335" s="278"/>
      <c r="R335" s="278"/>
      <c r="S335" s="278"/>
      <c r="T335" s="278"/>
      <c r="U335" s="279"/>
      <c r="V335" s="305" t="s">
        <v>249</v>
      </c>
      <c r="W335" s="347"/>
      <c r="X335" s="347"/>
      <c r="Y335" s="347"/>
      <c r="Z335" s="347"/>
      <c r="AA335" s="348"/>
      <c r="AB335" s="291" t="s">
        <v>252</v>
      </c>
      <c r="AC335" s="295"/>
      <c r="AD335" s="295"/>
      <c r="AE335" s="295"/>
      <c r="AF335" s="296"/>
      <c r="AG335" s="262" t="s">
        <v>447</v>
      </c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1"/>
      <c r="AW335" s="262"/>
      <c r="AX335" s="90"/>
      <c r="AY335" s="90"/>
      <c r="AZ335" s="90"/>
      <c r="BA335" s="90"/>
      <c r="BB335" s="90"/>
      <c r="BC335" s="90"/>
      <c r="BD335" s="91"/>
      <c r="BE335" s="284"/>
      <c r="BF335" s="90"/>
      <c r="BG335" s="90"/>
      <c r="BH335" s="90"/>
      <c r="BI335" s="90"/>
      <c r="BJ335" s="90"/>
      <c r="BK335" s="90"/>
      <c r="BL335" s="91"/>
      <c r="BM335" s="262" t="s">
        <v>285</v>
      </c>
      <c r="BN335" s="90"/>
      <c r="BO335" s="90"/>
      <c r="BP335" s="90"/>
      <c r="BQ335" s="90"/>
      <c r="BR335" s="90"/>
      <c r="BS335" s="90"/>
      <c r="BT335" s="91"/>
      <c r="BU335" s="284"/>
      <c r="BV335" s="90"/>
      <c r="BW335" s="90"/>
      <c r="BX335" s="90"/>
      <c r="BY335" s="90"/>
      <c r="BZ335" s="90"/>
      <c r="CA335" s="90"/>
      <c r="CB335" s="91"/>
      <c r="CC335" s="262" t="s">
        <v>463</v>
      </c>
      <c r="CD335" s="90"/>
      <c r="CE335" s="90"/>
      <c r="CF335" s="90"/>
      <c r="CG335" s="90"/>
      <c r="CH335" s="90"/>
      <c r="CI335" s="90"/>
      <c r="CJ335" s="91"/>
      <c r="CK335" s="341"/>
      <c r="CL335" s="342"/>
      <c r="CM335" s="342"/>
      <c r="CN335" s="342"/>
      <c r="CO335" s="342"/>
      <c r="CP335" s="342"/>
      <c r="CQ335" s="342"/>
      <c r="CR335" s="343"/>
      <c r="CS335" s="271" t="s">
        <v>206</v>
      </c>
      <c r="CT335" s="272"/>
      <c r="CU335" s="298">
        <v>881.25</v>
      </c>
      <c r="CV335" s="298"/>
      <c r="CW335" s="298"/>
      <c r="CX335" s="298"/>
      <c r="CY335" s="298"/>
      <c r="CZ335" s="299"/>
      <c r="DA335" s="274" t="s">
        <v>206</v>
      </c>
      <c r="DB335" s="275"/>
      <c r="DC335" s="275">
        <f t="shared" si="12"/>
        <v>881.25</v>
      </c>
      <c r="DD335" s="275"/>
      <c r="DE335" s="275"/>
      <c r="DF335" s="275"/>
      <c r="DG335" s="275"/>
      <c r="DH335" s="275"/>
      <c r="DI335" s="276"/>
      <c r="DJ335" s="262" t="s">
        <v>305</v>
      </c>
      <c r="DK335" s="90"/>
      <c r="DL335" s="90"/>
      <c r="DM335" s="90"/>
      <c r="DN335" s="90"/>
      <c r="DO335" s="90"/>
      <c r="DP335" s="90"/>
      <c r="DQ335" s="90"/>
      <c r="DR335" s="90"/>
      <c r="DS335" s="90"/>
      <c r="DT335" s="263"/>
    </row>
    <row r="336" spans="1:124">
      <c r="A336" s="306" t="s">
        <v>786</v>
      </c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90"/>
      <c r="N336" s="435" t="s">
        <v>787</v>
      </c>
      <c r="O336" s="278"/>
      <c r="P336" s="278"/>
      <c r="Q336" s="278"/>
      <c r="R336" s="278"/>
      <c r="S336" s="278"/>
      <c r="T336" s="278"/>
      <c r="U336" s="279"/>
      <c r="V336" s="297">
        <v>37462</v>
      </c>
      <c r="W336" s="102"/>
      <c r="X336" s="102"/>
      <c r="Y336" s="102"/>
      <c r="Z336" s="102"/>
      <c r="AA336" s="103"/>
      <c r="AB336" s="291" t="s">
        <v>252</v>
      </c>
      <c r="AC336" s="295"/>
      <c r="AD336" s="295"/>
      <c r="AE336" s="295"/>
      <c r="AF336" s="296"/>
      <c r="AG336" s="262" t="s">
        <v>803</v>
      </c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1"/>
      <c r="AW336" s="284"/>
      <c r="AX336" s="90"/>
      <c r="AY336" s="90"/>
      <c r="AZ336" s="90"/>
      <c r="BA336" s="90"/>
      <c r="BB336" s="90"/>
      <c r="BC336" s="90"/>
      <c r="BD336" s="91"/>
      <c r="BE336" s="284"/>
      <c r="BF336" s="90"/>
      <c r="BG336" s="90"/>
      <c r="BH336" s="90"/>
      <c r="BI336" s="90"/>
      <c r="BJ336" s="90"/>
      <c r="BK336" s="90"/>
      <c r="BL336" s="91"/>
      <c r="BM336" s="262" t="s">
        <v>807</v>
      </c>
      <c r="BN336" s="90"/>
      <c r="BO336" s="90"/>
      <c r="BP336" s="90"/>
      <c r="BQ336" s="90"/>
      <c r="BR336" s="90"/>
      <c r="BS336" s="90"/>
      <c r="BT336" s="91"/>
      <c r="BU336" s="262" t="s">
        <v>291</v>
      </c>
      <c r="BV336" s="90"/>
      <c r="BW336" s="90"/>
      <c r="BX336" s="90"/>
      <c r="BY336" s="90"/>
      <c r="BZ336" s="90"/>
      <c r="CA336" s="90"/>
      <c r="CB336" s="91"/>
      <c r="CC336" s="262"/>
      <c r="CD336" s="90"/>
      <c r="CE336" s="90"/>
      <c r="CF336" s="90"/>
      <c r="CG336" s="90"/>
      <c r="CH336" s="90"/>
      <c r="CI336" s="90"/>
      <c r="CJ336" s="91"/>
      <c r="CK336" s="284"/>
      <c r="CL336" s="90"/>
      <c r="CM336" s="90"/>
      <c r="CN336" s="90"/>
      <c r="CO336" s="90"/>
      <c r="CP336" s="90"/>
      <c r="CQ336" s="90"/>
      <c r="CR336" s="91"/>
      <c r="CS336" s="271" t="s">
        <v>206</v>
      </c>
      <c r="CT336" s="272"/>
      <c r="CU336" s="298"/>
      <c r="CV336" s="298"/>
      <c r="CW336" s="298"/>
      <c r="CX336" s="298"/>
      <c r="CY336" s="298"/>
      <c r="CZ336" s="299"/>
      <c r="DA336" s="274" t="s">
        <v>206</v>
      </c>
      <c r="DB336" s="275"/>
      <c r="DC336" s="275">
        <f t="shared" si="12"/>
        <v>0</v>
      </c>
      <c r="DD336" s="275"/>
      <c r="DE336" s="275"/>
      <c r="DF336" s="275"/>
      <c r="DG336" s="275"/>
      <c r="DH336" s="275"/>
      <c r="DI336" s="276"/>
      <c r="DJ336" s="262" t="s">
        <v>305</v>
      </c>
      <c r="DK336" s="90"/>
      <c r="DL336" s="90"/>
      <c r="DM336" s="90"/>
      <c r="DN336" s="90"/>
      <c r="DO336" s="90"/>
      <c r="DP336" s="90"/>
      <c r="DQ336" s="90"/>
      <c r="DR336" s="90"/>
      <c r="DS336" s="90"/>
      <c r="DT336" s="263"/>
    </row>
    <row r="337" spans="1:124">
      <c r="A337" s="346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90"/>
      <c r="N337" s="437" t="s">
        <v>794</v>
      </c>
      <c r="O337" s="289"/>
      <c r="P337" s="289"/>
      <c r="Q337" s="289"/>
      <c r="R337" s="289"/>
      <c r="S337" s="289"/>
      <c r="T337" s="289"/>
      <c r="U337" s="290"/>
      <c r="V337" s="297">
        <v>42017</v>
      </c>
      <c r="W337" s="102"/>
      <c r="X337" s="102"/>
      <c r="Y337" s="102"/>
      <c r="Z337" s="102"/>
      <c r="AA337" s="103"/>
      <c r="AB337" s="291" t="s">
        <v>252</v>
      </c>
      <c r="AC337" s="295"/>
      <c r="AD337" s="295"/>
      <c r="AE337" s="295"/>
      <c r="AF337" s="296"/>
      <c r="AG337" s="262" t="s">
        <v>574</v>
      </c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1"/>
      <c r="AW337" s="262"/>
      <c r="AX337" s="90"/>
      <c r="AY337" s="90"/>
      <c r="AZ337" s="90"/>
      <c r="BA337" s="90"/>
      <c r="BB337" s="90"/>
      <c r="BC337" s="90"/>
      <c r="BD337" s="91"/>
      <c r="BE337" s="284"/>
      <c r="BF337" s="90"/>
      <c r="BG337" s="90"/>
      <c r="BH337" s="90"/>
      <c r="BI337" s="90"/>
      <c r="BJ337" s="90"/>
      <c r="BK337" s="90"/>
      <c r="BL337" s="91"/>
      <c r="BM337" s="262"/>
      <c r="BN337" s="90"/>
      <c r="BO337" s="90"/>
      <c r="BP337" s="90"/>
      <c r="BQ337" s="90"/>
      <c r="BR337" s="90"/>
      <c r="BS337" s="90"/>
      <c r="BT337" s="91"/>
      <c r="BU337" s="262"/>
      <c r="BV337" s="90"/>
      <c r="BW337" s="90"/>
      <c r="BX337" s="90"/>
      <c r="BY337" s="90"/>
      <c r="BZ337" s="90"/>
      <c r="CA337" s="90"/>
      <c r="CB337" s="91"/>
      <c r="CC337" s="284"/>
      <c r="CD337" s="90"/>
      <c r="CE337" s="90"/>
      <c r="CF337" s="90"/>
      <c r="CG337" s="90"/>
      <c r="CH337" s="90"/>
      <c r="CI337" s="90"/>
      <c r="CJ337" s="91"/>
      <c r="CK337" s="262"/>
      <c r="CL337" s="90"/>
      <c r="CM337" s="90"/>
      <c r="CN337" s="90"/>
      <c r="CO337" s="90"/>
      <c r="CP337" s="90"/>
      <c r="CQ337" s="90"/>
      <c r="CR337" s="91"/>
      <c r="CS337" s="271" t="s">
        <v>206</v>
      </c>
      <c r="CT337" s="272"/>
      <c r="CU337" s="298">
        <v>4500</v>
      </c>
      <c r="CV337" s="298"/>
      <c r="CW337" s="298"/>
      <c r="CX337" s="298"/>
      <c r="CY337" s="298"/>
      <c r="CZ337" s="299"/>
      <c r="DA337" s="274" t="s">
        <v>206</v>
      </c>
      <c r="DB337" s="275"/>
      <c r="DC337" s="275">
        <f t="shared" si="12"/>
        <v>4500</v>
      </c>
      <c r="DD337" s="275"/>
      <c r="DE337" s="275"/>
      <c r="DF337" s="275"/>
      <c r="DG337" s="275"/>
      <c r="DH337" s="275"/>
      <c r="DI337" s="276"/>
      <c r="DJ337" s="262" t="s">
        <v>305</v>
      </c>
      <c r="DK337" s="90"/>
      <c r="DL337" s="90"/>
      <c r="DM337" s="90"/>
      <c r="DN337" s="90"/>
      <c r="DO337" s="90"/>
      <c r="DP337" s="90"/>
      <c r="DQ337" s="90"/>
      <c r="DR337" s="90"/>
      <c r="DS337" s="90"/>
      <c r="DT337" s="263"/>
    </row>
    <row r="338" spans="1:124">
      <c r="A338" s="288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90"/>
      <c r="N338" s="437" t="s">
        <v>795</v>
      </c>
      <c r="O338" s="289"/>
      <c r="P338" s="289"/>
      <c r="Q338" s="289"/>
      <c r="R338" s="289"/>
      <c r="S338" s="289"/>
      <c r="T338" s="289"/>
      <c r="U338" s="290"/>
      <c r="V338" s="297">
        <v>42456</v>
      </c>
      <c r="W338" s="102"/>
      <c r="X338" s="102"/>
      <c r="Y338" s="102"/>
      <c r="Z338" s="102"/>
      <c r="AA338" s="103"/>
      <c r="AB338" s="291" t="s">
        <v>252</v>
      </c>
      <c r="AC338" s="295"/>
      <c r="AD338" s="295"/>
      <c r="AE338" s="295"/>
      <c r="AF338" s="296"/>
      <c r="AG338" s="362" t="s">
        <v>763</v>
      </c>
      <c r="AH338" s="363"/>
      <c r="AI338" s="363"/>
      <c r="AJ338" s="363"/>
      <c r="AK338" s="363"/>
      <c r="AL338" s="363"/>
      <c r="AM338" s="363"/>
      <c r="AN338" s="363"/>
      <c r="AO338" s="363"/>
      <c r="AP338" s="363"/>
      <c r="AQ338" s="363"/>
      <c r="AR338" s="363"/>
      <c r="AS338" s="363"/>
      <c r="AT338" s="363"/>
      <c r="AU338" s="363"/>
      <c r="AV338" s="364"/>
      <c r="AW338" s="262" t="s">
        <v>805</v>
      </c>
      <c r="AX338" s="90"/>
      <c r="AY338" s="90"/>
      <c r="AZ338" s="90"/>
      <c r="BA338" s="90"/>
      <c r="BB338" s="90"/>
      <c r="BC338" s="90"/>
      <c r="BD338" s="91"/>
      <c r="BE338" s="284"/>
      <c r="BF338" s="90"/>
      <c r="BG338" s="90"/>
      <c r="BH338" s="90"/>
      <c r="BI338" s="90"/>
      <c r="BJ338" s="90"/>
      <c r="BK338" s="90"/>
      <c r="BL338" s="91"/>
      <c r="BM338" s="262"/>
      <c r="BN338" s="90"/>
      <c r="BO338" s="90"/>
      <c r="BP338" s="90"/>
      <c r="BQ338" s="90"/>
      <c r="BR338" s="90"/>
      <c r="BS338" s="90"/>
      <c r="BT338" s="91"/>
      <c r="BU338" s="262"/>
      <c r="BV338" s="90"/>
      <c r="BW338" s="90"/>
      <c r="BX338" s="90"/>
      <c r="BY338" s="90"/>
      <c r="BZ338" s="90"/>
      <c r="CA338" s="90"/>
      <c r="CB338" s="91"/>
      <c r="CC338" s="262" t="s">
        <v>720</v>
      </c>
      <c r="CD338" s="90"/>
      <c r="CE338" s="90"/>
      <c r="CF338" s="90"/>
      <c r="CG338" s="90"/>
      <c r="CH338" s="90"/>
      <c r="CI338" s="90"/>
      <c r="CJ338" s="91"/>
      <c r="CK338" s="284"/>
      <c r="CL338" s="90"/>
      <c r="CM338" s="90"/>
      <c r="CN338" s="90"/>
      <c r="CO338" s="90"/>
      <c r="CP338" s="90"/>
      <c r="CQ338" s="90"/>
      <c r="CR338" s="91"/>
      <c r="CS338" s="271" t="s">
        <v>206</v>
      </c>
      <c r="CT338" s="272"/>
      <c r="CU338" s="298">
        <v>2350</v>
      </c>
      <c r="CV338" s="298"/>
      <c r="CW338" s="298"/>
      <c r="CX338" s="298"/>
      <c r="CY338" s="298"/>
      <c r="CZ338" s="299"/>
      <c r="DA338" s="274" t="s">
        <v>206</v>
      </c>
      <c r="DB338" s="275"/>
      <c r="DC338" s="275">
        <f t="shared" si="12"/>
        <v>2350</v>
      </c>
      <c r="DD338" s="275"/>
      <c r="DE338" s="275"/>
      <c r="DF338" s="275"/>
      <c r="DG338" s="275"/>
      <c r="DH338" s="275"/>
      <c r="DI338" s="276"/>
      <c r="DJ338" s="262" t="s">
        <v>305</v>
      </c>
      <c r="DK338" s="90"/>
      <c r="DL338" s="90"/>
      <c r="DM338" s="90"/>
      <c r="DN338" s="90"/>
      <c r="DO338" s="90"/>
      <c r="DP338" s="90"/>
      <c r="DQ338" s="90"/>
      <c r="DR338" s="90"/>
      <c r="DS338" s="90"/>
      <c r="DT338" s="263"/>
    </row>
    <row r="339" spans="1:124">
      <c r="A339" s="288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90"/>
      <c r="N339" s="437" t="s">
        <v>796</v>
      </c>
      <c r="O339" s="289"/>
      <c r="P339" s="289"/>
      <c r="Q339" s="289"/>
      <c r="R339" s="289"/>
      <c r="S339" s="289"/>
      <c r="T339" s="289"/>
      <c r="U339" s="290"/>
      <c r="V339" s="311">
        <v>42995</v>
      </c>
      <c r="W339" s="102"/>
      <c r="X339" s="102"/>
      <c r="Y339" s="102"/>
      <c r="Z339" s="102"/>
      <c r="AA339" s="103"/>
      <c r="AB339" s="291" t="s">
        <v>217</v>
      </c>
      <c r="AC339" s="295"/>
      <c r="AD339" s="295"/>
      <c r="AE339" s="295"/>
      <c r="AF339" s="296"/>
      <c r="AG339" s="262" t="s">
        <v>798</v>
      </c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1"/>
      <c r="AW339" s="286"/>
      <c r="AX339" s="286"/>
      <c r="AY339" s="286"/>
      <c r="AZ339" s="286"/>
      <c r="BA339" s="286"/>
      <c r="BB339" s="286"/>
      <c r="BC339" s="286"/>
      <c r="BD339" s="286"/>
      <c r="BE339" s="286"/>
      <c r="BF339" s="286"/>
      <c r="BG339" s="286"/>
      <c r="BH339" s="286"/>
      <c r="BI339" s="286"/>
      <c r="BJ339" s="286"/>
      <c r="BK339" s="286"/>
      <c r="BL339" s="286"/>
      <c r="BM339" s="285"/>
      <c r="BN339" s="286"/>
      <c r="BO339" s="286"/>
      <c r="BP339" s="286"/>
      <c r="BQ339" s="286"/>
      <c r="BR339" s="286"/>
      <c r="BS339" s="286"/>
      <c r="BT339" s="286"/>
      <c r="BU339" s="285"/>
      <c r="BV339" s="286"/>
      <c r="BW339" s="286"/>
      <c r="BX339" s="286"/>
      <c r="BY339" s="286"/>
      <c r="BZ339" s="286"/>
      <c r="CA339" s="286"/>
      <c r="CB339" s="286"/>
      <c r="CC339" s="286"/>
      <c r="CD339" s="286"/>
      <c r="CE339" s="286"/>
      <c r="CF339" s="286"/>
      <c r="CG339" s="286"/>
      <c r="CH339" s="286"/>
      <c r="CI339" s="286"/>
      <c r="CJ339" s="286"/>
      <c r="CK339" s="286"/>
      <c r="CL339" s="286"/>
      <c r="CM339" s="286"/>
      <c r="CN339" s="286"/>
      <c r="CO339" s="286"/>
      <c r="CP339" s="286"/>
      <c r="CQ339" s="286"/>
      <c r="CR339" s="286"/>
      <c r="CS339" s="271" t="s">
        <v>206</v>
      </c>
      <c r="CT339" s="272"/>
      <c r="CU339" s="298">
        <v>10000</v>
      </c>
      <c r="CV339" s="298"/>
      <c r="CW339" s="298"/>
      <c r="CX339" s="298"/>
      <c r="CY339" s="298"/>
      <c r="CZ339" s="299"/>
      <c r="DA339" s="274" t="s">
        <v>206</v>
      </c>
      <c r="DB339" s="275"/>
      <c r="DC339" s="275">
        <f t="shared" si="12"/>
        <v>20000</v>
      </c>
      <c r="DD339" s="275"/>
      <c r="DE339" s="275"/>
      <c r="DF339" s="275"/>
      <c r="DG339" s="275"/>
      <c r="DH339" s="275"/>
      <c r="DI339" s="276"/>
      <c r="DJ339" s="262" t="s">
        <v>305</v>
      </c>
      <c r="DK339" s="90"/>
      <c r="DL339" s="90"/>
      <c r="DM339" s="90"/>
      <c r="DN339" s="90"/>
      <c r="DO339" s="90"/>
      <c r="DP339" s="90"/>
      <c r="DQ339" s="90"/>
      <c r="DR339" s="90"/>
      <c r="DS339" s="90"/>
      <c r="DT339" s="263"/>
    </row>
    <row r="340" spans="1:124">
      <c r="A340" s="288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90"/>
      <c r="N340" s="438" t="s">
        <v>797</v>
      </c>
      <c r="O340" s="289"/>
      <c r="P340" s="289"/>
      <c r="Q340" s="289"/>
      <c r="R340" s="289"/>
      <c r="S340" s="289"/>
      <c r="T340" s="289"/>
      <c r="U340" s="290"/>
      <c r="V340" s="297">
        <v>43734</v>
      </c>
      <c r="W340" s="102"/>
      <c r="X340" s="102"/>
      <c r="Y340" s="102"/>
      <c r="Z340" s="102"/>
      <c r="AA340" s="103"/>
      <c r="AB340" s="291" t="s">
        <v>252</v>
      </c>
      <c r="AC340" s="295"/>
      <c r="AD340" s="295"/>
      <c r="AE340" s="295"/>
      <c r="AF340" s="296"/>
      <c r="AG340" s="262" t="s">
        <v>444</v>
      </c>
      <c r="AH340" s="314"/>
      <c r="AI340" s="314"/>
      <c r="AJ340" s="314"/>
      <c r="AK340" s="314"/>
      <c r="AL340" s="314"/>
      <c r="AM340" s="314"/>
      <c r="AN340" s="314"/>
      <c r="AO340" s="314"/>
      <c r="AP340" s="314"/>
      <c r="AQ340" s="314"/>
      <c r="AR340" s="314"/>
      <c r="AS340" s="314"/>
      <c r="AT340" s="314"/>
      <c r="AU340" s="314"/>
      <c r="AV340" s="366"/>
      <c r="AW340" s="262" t="s">
        <v>806</v>
      </c>
      <c r="AX340" s="90"/>
      <c r="AY340" s="90"/>
      <c r="AZ340" s="90"/>
      <c r="BA340" s="90"/>
      <c r="BB340" s="90"/>
      <c r="BC340" s="90"/>
      <c r="BD340" s="91"/>
      <c r="BE340" s="284"/>
      <c r="BF340" s="90"/>
      <c r="BG340" s="90"/>
      <c r="BH340" s="90"/>
      <c r="BI340" s="90"/>
      <c r="BJ340" s="90"/>
      <c r="BK340" s="90"/>
      <c r="BL340" s="91"/>
      <c r="BM340" s="262"/>
      <c r="BN340" s="90"/>
      <c r="BO340" s="90"/>
      <c r="BP340" s="90"/>
      <c r="BQ340" s="90"/>
      <c r="BR340" s="90"/>
      <c r="BS340" s="90"/>
      <c r="BT340" s="91"/>
      <c r="BU340" s="262" t="s">
        <v>291</v>
      </c>
      <c r="BV340" s="90"/>
      <c r="BW340" s="90"/>
      <c r="BX340" s="90"/>
      <c r="BY340" s="90"/>
      <c r="BZ340" s="90"/>
      <c r="CA340" s="90"/>
      <c r="CB340" s="91"/>
      <c r="CC340" s="284"/>
      <c r="CD340" s="90"/>
      <c r="CE340" s="90"/>
      <c r="CF340" s="90"/>
      <c r="CG340" s="90"/>
      <c r="CH340" s="90"/>
      <c r="CI340" s="90"/>
      <c r="CJ340" s="91"/>
      <c r="CK340" s="284"/>
      <c r="CL340" s="90"/>
      <c r="CM340" s="90"/>
      <c r="CN340" s="90"/>
      <c r="CO340" s="90"/>
      <c r="CP340" s="90"/>
      <c r="CQ340" s="90"/>
      <c r="CR340" s="91"/>
      <c r="CS340" s="271" t="s">
        <v>206</v>
      </c>
      <c r="CT340" s="272"/>
      <c r="CU340" s="298">
        <v>1000</v>
      </c>
      <c r="CV340" s="298"/>
      <c r="CW340" s="298"/>
      <c r="CX340" s="298"/>
      <c r="CY340" s="298"/>
      <c r="CZ340" s="299"/>
      <c r="DA340" s="274" t="s">
        <v>206</v>
      </c>
      <c r="DB340" s="275"/>
      <c r="DC340" s="275">
        <f t="shared" si="12"/>
        <v>1000</v>
      </c>
      <c r="DD340" s="275"/>
      <c r="DE340" s="275"/>
      <c r="DF340" s="275"/>
      <c r="DG340" s="275"/>
      <c r="DH340" s="275"/>
      <c r="DI340" s="276"/>
      <c r="DJ340" s="262" t="s">
        <v>305</v>
      </c>
      <c r="DK340" s="90"/>
      <c r="DL340" s="90"/>
      <c r="DM340" s="90"/>
      <c r="DN340" s="90"/>
      <c r="DO340" s="90"/>
      <c r="DP340" s="90"/>
      <c r="DQ340" s="90"/>
      <c r="DR340" s="90"/>
      <c r="DS340" s="90"/>
      <c r="DT340" s="263"/>
    </row>
    <row r="341" spans="1:124">
      <c r="A341" s="304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438"/>
      <c r="O341" s="289"/>
      <c r="P341" s="289"/>
      <c r="Q341" s="289"/>
      <c r="R341" s="289"/>
      <c r="S341" s="289"/>
      <c r="T341" s="289"/>
      <c r="U341" s="290"/>
      <c r="V341" s="261"/>
      <c r="W341" s="102"/>
      <c r="X341" s="102"/>
      <c r="Y341" s="102"/>
      <c r="Z341" s="102"/>
      <c r="AA341" s="103"/>
      <c r="AB341" s="291"/>
      <c r="AC341" s="295"/>
      <c r="AD341" s="295"/>
      <c r="AE341" s="295"/>
      <c r="AF341" s="296"/>
      <c r="AG341" s="357"/>
      <c r="AH341" s="358"/>
      <c r="AI341" s="358"/>
      <c r="AJ341" s="358"/>
      <c r="AK341" s="358"/>
      <c r="AL341" s="358"/>
      <c r="AM341" s="358"/>
      <c r="AN341" s="358"/>
      <c r="AO341" s="358"/>
      <c r="AP341" s="358"/>
      <c r="AQ341" s="358"/>
      <c r="AR341" s="358"/>
      <c r="AS341" s="358"/>
      <c r="AT341" s="358"/>
      <c r="AU341" s="358"/>
      <c r="AV341" s="359"/>
      <c r="AW341" s="284"/>
      <c r="AX341" s="90"/>
      <c r="AY341" s="90"/>
      <c r="AZ341" s="90"/>
      <c r="BA341" s="90"/>
      <c r="BB341" s="90"/>
      <c r="BC341" s="90"/>
      <c r="BD341" s="91"/>
      <c r="BE341" s="284"/>
      <c r="BF341" s="90"/>
      <c r="BG341" s="90"/>
      <c r="BH341" s="90"/>
      <c r="BI341" s="90"/>
      <c r="BJ341" s="90"/>
      <c r="BK341" s="90"/>
      <c r="BL341" s="91"/>
      <c r="BM341" s="262"/>
      <c r="BN341" s="90"/>
      <c r="BO341" s="90"/>
      <c r="BP341" s="90"/>
      <c r="BQ341" s="90"/>
      <c r="BR341" s="90"/>
      <c r="BS341" s="90"/>
      <c r="BT341" s="91"/>
      <c r="BU341" s="262"/>
      <c r="BV341" s="90"/>
      <c r="BW341" s="90"/>
      <c r="BX341" s="90"/>
      <c r="BY341" s="90"/>
      <c r="BZ341" s="90"/>
      <c r="CA341" s="90"/>
      <c r="CB341" s="91"/>
      <c r="CC341" s="284"/>
      <c r="CD341" s="90"/>
      <c r="CE341" s="90"/>
      <c r="CF341" s="90"/>
      <c r="CG341" s="90"/>
      <c r="CH341" s="90"/>
      <c r="CI341" s="90"/>
      <c r="CJ341" s="91"/>
      <c r="CK341" s="284"/>
      <c r="CL341" s="90"/>
      <c r="CM341" s="90"/>
      <c r="CN341" s="90"/>
      <c r="CO341" s="90"/>
      <c r="CP341" s="90"/>
      <c r="CQ341" s="90"/>
      <c r="CR341" s="91"/>
      <c r="CS341" s="271"/>
      <c r="CT341" s="272"/>
      <c r="CU341" s="298"/>
      <c r="CV341" s="298"/>
      <c r="CW341" s="298"/>
      <c r="CX341" s="298"/>
      <c r="CY341" s="298"/>
      <c r="CZ341" s="299"/>
      <c r="DA341" s="274"/>
      <c r="DB341" s="275"/>
      <c r="DC341" s="275"/>
      <c r="DD341" s="275"/>
      <c r="DE341" s="275"/>
      <c r="DF341" s="275"/>
      <c r="DG341" s="275"/>
      <c r="DH341" s="275"/>
      <c r="DI341" s="276"/>
      <c r="DJ341" s="262"/>
      <c r="DK341" s="90"/>
      <c r="DL341" s="90"/>
      <c r="DM341" s="90"/>
      <c r="DN341" s="90"/>
      <c r="DO341" s="90"/>
      <c r="DP341" s="90"/>
      <c r="DQ341" s="90"/>
      <c r="DR341" s="90"/>
      <c r="DS341" s="90"/>
      <c r="DT341" s="263"/>
    </row>
    <row r="342" spans="1:124">
      <c r="A342" s="304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85"/>
      <c r="O342" s="286"/>
      <c r="P342" s="286"/>
      <c r="Q342" s="286"/>
      <c r="R342" s="286"/>
      <c r="S342" s="286"/>
      <c r="T342" s="286"/>
      <c r="U342" s="286"/>
      <c r="V342" s="261"/>
      <c r="W342" s="102"/>
      <c r="X342" s="102"/>
      <c r="Y342" s="102"/>
      <c r="Z342" s="102"/>
      <c r="AA342" s="103"/>
      <c r="AB342" s="312"/>
      <c r="AC342" s="313"/>
      <c r="AD342" s="313"/>
      <c r="AE342" s="313"/>
      <c r="AF342" s="313"/>
      <c r="AG342" s="357"/>
      <c r="AH342" s="358"/>
      <c r="AI342" s="358"/>
      <c r="AJ342" s="358"/>
      <c r="AK342" s="358"/>
      <c r="AL342" s="358"/>
      <c r="AM342" s="358"/>
      <c r="AN342" s="358"/>
      <c r="AO342" s="358"/>
      <c r="AP342" s="358"/>
      <c r="AQ342" s="358"/>
      <c r="AR342" s="358"/>
      <c r="AS342" s="358"/>
      <c r="AT342" s="358"/>
      <c r="AU342" s="358"/>
      <c r="AV342" s="359"/>
      <c r="AW342" s="286"/>
      <c r="AX342" s="286"/>
      <c r="AY342" s="286"/>
      <c r="AZ342" s="286"/>
      <c r="BA342" s="286"/>
      <c r="BB342" s="286"/>
      <c r="BC342" s="286"/>
      <c r="BD342" s="286"/>
      <c r="BE342" s="286"/>
      <c r="BF342" s="286"/>
      <c r="BG342" s="286"/>
      <c r="BH342" s="286"/>
      <c r="BI342" s="286"/>
      <c r="BJ342" s="286"/>
      <c r="BK342" s="286"/>
      <c r="BL342" s="286"/>
      <c r="BM342" s="262"/>
      <c r="BN342" s="90"/>
      <c r="BO342" s="90"/>
      <c r="BP342" s="90"/>
      <c r="BQ342" s="90"/>
      <c r="BR342" s="90"/>
      <c r="BS342" s="90"/>
      <c r="BT342" s="91"/>
      <c r="BU342" s="262"/>
      <c r="BV342" s="90"/>
      <c r="BW342" s="90"/>
      <c r="BX342" s="90"/>
      <c r="BY342" s="90"/>
      <c r="BZ342" s="90"/>
      <c r="CA342" s="90"/>
      <c r="CB342" s="91"/>
      <c r="CC342" s="286"/>
      <c r="CD342" s="286"/>
      <c r="CE342" s="286"/>
      <c r="CF342" s="286"/>
      <c r="CG342" s="286"/>
      <c r="CH342" s="286"/>
      <c r="CI342" s="286"/>
      <c r="CJ342" s="286"/>
      <c r="CK342" s="286"/>
      <c r="CL342" s="286"/>
      <c r="CM342" s="286"/>
      <c r="CN342" s="286"/>
      <c r="CO342" s="286"/>
      <c r="CP342" s="286"/>
      <c r="CQ342" s="286"/>
      <c r="CR342" s="286"/>
      <c r="CS342" s="271"/>
      <c r="CT342" s="272"/>
      <c r="CU342" s="298"/>
      <c r="CV342" s="298"/>
      <c r="CW342" s="298"/>
      <c r="CX342" s="298"/>
      <c r="CY342" s="298"/>
      <c r="CZ342" s="299"/>
      <c r="DA342" s="274"/>
      <c r="DB342" s="275"/>
      <c r="DC342" s="275"/>
      <c r="DD342" s="275"/>
      <c r="DE342" s="275"/>
      <c r="DF342" s="275"/>
      <c r="DG342" s="275"/>
      <c r="DH342" s="275"/>
      <c r="DI342" s="276"/>
      <c r="DJ342" s="262"/>
      <c r="DK342" s="90"/>
      <c r="DL342" s="90"/>
      <c r="DM342" s="90"/>
      <c r="DN342" s="90"/>
      <c r="DO342" s="90"/>
      <c r="DP342" s="90"/>
      <c r="DQ342" s="90"/>
      <c r="DR342" s="90"/>
      <c r="DS342" s="90"/>
      <c r="DT342" s="263"/>
    </row>
    <row r="343" spans="1:124">
      <c r="A343" s="304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85"/>
      <c r="O343" s="286"/>
      <c r="P343" s="286"/>
      <c r="Q343" s="286"/>
      <c r="R343" s="286"/>
      <c r="S343" s="286"/>
      <c r="T343" s="286"/>
      <c r="U343" s="286"/>
      <c r="V343" s="297"/>
      <c r="W343" s="102"/>
      <c r="X343" s="102"/>
      <c r="Y343" s="102"/>
      <c r="Z343" s="102"/>
      <c r="AA343" s="103"/>
      <c r="AB343" s="312"/>
      <c r="AC343" s="313"/>
      <c r="AD343" s="313"/>
      <c r="AE343" s="313"/>
      <c r="AF343" s="313"/>
      <c r="AG343" s="285"/>
      <c r="AH343" s="286"/>
      <c r="AI343" s="286"/>
      <c r="AJ343" s="286"/>
      <c r="AK343" s="286"/>
      <c r="AL343" s="286"/>
      <c r="AM343" s="286"/>
      <c r="AN343" s="286"/>
      <c r="AO343" s="286"/>
      <c r="AP343" s="286"/>
      <c r="AQ343" s="286"/>
      <c r="AR343" s="286"/>
      <c r="AS343" s="286"/>
      <c r="AT343" s="286"/>
      <c r="AU343" s="286"/>
      <c r="AV343" s="286"/>
      <c r="AW343" s="286"/>
      <c r="AX343" s="286"/>
      <c r="AY343" s="286"/>
      <c r="AZ343" s="286"/>
      <c r="BA343" s="286"/>
      <c r="BB343" s="286"/>
      <c r="BC343" s="286"/>
      <c r="BD343" s="286"/>
      <c r="BE343" s="286"/>
      <c r="BF343" s="286"/>
      <c r="BG343" s="286"/>
      <c r="BH343" s="286"/>
      <c r="BI343" s="286"/>
      <c r="BJ343" s="286"/>
      <c r="BK343" s="286"/>
      <c r="BL343" s="286"/>
      <c r="BM343" s="285"/>
      <c r="BN343" s="286"/>
      <c r="BO343" s="286"/>
      <c r="BP343" s="286"/>
      <c r="BQ343" s="286"/>
      <c r="BR343" s="286"/>
      <c r="BS343" s="286"/>
      <c r="BT343" s="286"/>
      <c r="BU343" s="262"/>
      <c r="BV343" s="90"/>
      <c r="BW343" s="90"/>
      <c r="BX343" s="90"/>
      <c r="BY343" s="90"/>
      <c r="BZ343" s="90"/>
      <c r="CA343" s="90"/>
      <c r="CB343" s="91"/>
      <c r="CC343" s="286"/>
      <c r="CD343" s="286"/>
      <c r="CE343" s="286"/>
      <c r="CF343" s="286"/>
      <c r="CG343" s="286"/>
      <c r="CH343" s="286"/>
      <c r="CI343" s="286"/>
      <c r="CJ343" s="286"/>
      <c r="CK343" s="286"/>
      <c r="CL343" s="286"/>
      <c r="CM343" s="286"/>
      <c r="CN343" s="286"/>
      <c r="CO343" s="286"/>
      <c r="CP343" s="286"/>
      <c r="CQ343" s="286"/>
      <c r="CR343" s="286"/>
      <c r="CS343" s="271"/>
      <c r="CT343" s="272"/>
      <c r="CU343" s="298"/>
      <c r="CV343" s="298"/>
      <c r="CW343" s="298"/>
      <c r="CX343" s="298"/>
      <c r="CY343" s="298"/>
      <c r="CZ343" s="299"/>
      <c r="DA343" s="274"/>
      <c r="DB343" s="275"/>
      <c r="DC343" s="275"/>
      <c r="DD343" s="275"/>
      <c r="DE343" s="275"/>
      <c r="DF343" s="275"/>
      <c r="DG343" s="275"/>
      <c r="DH343" s="275"/>
      <c r="DI343" s="276"/>
      <c r="DJ343" s="262"/>
      <c r="DK343" s="90"/>
      <c r="DL343" s="90"/>
      <c r="DM343" s="90"/>
      <c r="DN343" s="90"/>
      <c r="DO343" s="90"/>
      <c r="DP343" s="90"/>
      <c r="DQ343" s="90"/>
      <c r="DR343" s="90"/>
      <c r="DS343" s="90"/>
      <c r="DT343" s="263"/>
    </row>
    <row r="344" spans="1:124">
      <c r="A344" s="288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90"/>
      <c r="N344" s="262"/>
      <c r="O344" s="90"/>
      <c r="P344" s="90"/>
      <c r="Q344" s="90"/>
      <c r="R344" s="90"/>
      <c r="S344" s="90"/>
      <c r="T344" s="90"/>
      <c r="U344" s="91"/>
      <c r="V344" s="261"/>
      <c r="W344" s="102"/>
      <c r="X344" s="102"/>
      <c r="Y344" s="102"/>
      <c r="Z344" s="102"/>
      <c r="AA344" s="103"/>
      <c r="AB344" s="291"/>
      <c r="AC344" s="295"/>
      <c r="AD344" s="295"/>
      <c r="AE344" s="295"/>
      <c r="AF344" s="296"/>
      <c r="AG344" s="262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1"/>
      <c r="AW344" s="262"/>
      <c r="AX344" s="90"/>
      <c r="AY344" s="90"/>
      <c r="AZ344" s="90"/>
      <c r="BA344" s="90"/>
      <c r="BB344" s="90"/>
      <c r="BC344" s="90"/>
      <c r="BD344" s="91"/>
      <c r="BE344" s="284"/>
      <c r="BF344" s="90"/>
      <c r="BG344" s="90"/>
      <c r="BH344" s="90"/>
      <c r="BI344" s="90"/>
      <c r="BJ344" s="90"/>
      <c r="BK344" s="90"/>
      <c r="BL344" s="91"/>
      <c r="BM344" s="285"/>
      <c r="BN344" s="286"/>
      <c r="BO344" s="286"/>
      <c r="BP344" s="286"/>
      <c r="BQ344" s="286"/>
      <c r="BR344" s="286"/>
      <c r="BS344" s="286"/>
      <c r="BT344" s="286"/>
      <c r="BU344" s="262"/>
      <c r="BV344" s="90"/>
      <c r="BW344" s="90"/>
      <c r="BX344" s="90"/>
      <c r="BY344" s="90"/>
      <c r="BZ344" s="90"/>
      <c r="CA344" s="90"/>
      <c r="CB344" s="91"/>
      <c r="CC344" s="284"/>
      <c r="CD344" s="90"/>
      <c r="CE344" s="90"/>
      <c r="CF344" s="90"/>
      <c r="CG344" s="90"/>
      <c r="CH344" s="90"/>
      <c r="CI344" s="90"/>
      <c r="CJ344" s="91"/>
      <c r="CK344" s="284"/>
      <c r="CL344" s="90"/>
      <c r="CM344" s="90"/>
      <c r="CN344" s="90"/>
      <c r="CO344" s="90"/>
      <c r="CP344" s="90"/>
      <c r="CQ344" s="90"/>
      <c r="CR344" s="91"/>
      <c r="CS344" s="271"/>
      <c r="CT344" s="272"/>
      <c r="CU344" s="298"/>
      <c r="CV344" s="298"/>
      <c r="CW344" s="298"/>
      <c r="CX344" s="298"/>
      <c r="CY344" s="298"/>
      <c r="CZ344" s="299"/>
      <c r="DA344" s="274"/>
      <c r="DB344" s="275"/>
      <c r="DC344" s="275"/>
      <c r="DD344" s="275"/>
      <c r="DE344" s="275"/>
      <c r="DF344" s="275"/>
      <c r="DG344" s="275"/>
      <c r="DH344" s="275"/>
      <c r="DI344" s="276"/>
      <c r="DJ344" s="262"/>
      <c r="DK344" s="90"/>
      <c r="DL344" s="90"/>
      <c r="DM344" s="90"/>
      <c r="DN344" s="90"/>
      <c r="DO344" s="90"/>
      <c r="DP344" s="90"/>
      <c r="DQ344" s="90"/>
      <c r="DR344" s="90"/>
      <c r="DS344" s="90"/>
      <c r="DT344" s="263"/>
    </row>
    <row r="345" spans="1:124">
      <c r="A345" s="288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90"/>
      <c r="N345" s="262"/>
      <c r="O345" s="90"/>
      <c r="P345" s="90"/>
      <c r="Q345" s="90"/>
      <c r="R345" s="90"/>
      <c r="S345" s="90"/>
      <c r="T345" s="90"/>
      <c r="U345" s="91"/>
      <c r="V345" s="261"/>
      <c r="W345" s="102"/>
      <c r="X345" s="102"/>
      <c r="Y345" s="102"/>
      <c r="Z345" s="102"/>
      <c r="AA345" s="103"/>
      <c r="AB345" s="291"/>
      <c r="AC345" s="295"/>
      <c r="AD345" s="295"/>
      <c r="AE345" s="295"/>
      <c r="AF345" s="296"/>
      <c r="AG345" s="262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1"/>
      <c r="AW345" s="284"/>
      <c r="AX345" s="90"/>
      <c r="AY345" s="90"/>
      <c r="AZ345" s="90"/>
      <c r="BA345" s="90"/>
      <c r="BB345" s="90"/>
      <c r="BC345" s="90"/>
      <c r="BD345" s="91"/>
      <c r="BE345" s="284"/>
      <c r="BF345" s="90"/>
      <c r="BG345" s="90"/>
      <c r="BH345" s="90"/>
      <c r="BI345" s="90"/>
      <c r="BJ345" s="90"/>
      <c r="BK345" s="90"/>
      <c r="BL345" s="91"/>
      <c r="BM345" s="262"/>
      <c r="BN345" s="90"/>
      <c r="BO345" s="90"/>
      <c r="BP345" s="90"/>
      <c r="BQ345" s="90"/>
      <c r="BR345" s="90"/>
      <c r="BS345" s="90"/>
      <c r="BT345" s="91"/>
      <c r="BU345" s="262"/>
      <c r="BV345" s="90"/>
      <c r="BW345" s="90"/>
      <c r="BX345" s="90"/>
      <c r="BY345" s="90"/>
      <c r="BZ345" s="90"/>
      <c r="CA345" s="90"/>
      <c r="CB345" s="91"/>
      <c r="CC345" s="262"/>
      <c r="CD345" s="90"/>
      <c r="CE345" s="90"/>
      <c r="CF345" s="90"/>
      <c r="CG345" s="90"/>
      <c r="CH345" s="90"/>
      <c r="CI345" s="90"/>
      <c r="CJ345" s="91"/>
      <c r="CK345" s="284"/>
      <c r="CL345" s="90"/>
      <c r="CM345" s="90"/>
      <c r="CN345" s="90"/>
      <c r="CO345" s="90"/>
      <c r="CP345" s="90"/>
      <c r="CQ345" s="90"/>
      <c r="CR345" s="91"/>
      <c r="CS345" s="271"/>
      <c r="CT345" s="272"/>
      <c r="CU345" s="298"/>
      <c r="CV345" s="298"/>
      <c r="CW345" s="298"/>
      <c r="CX345" s="298"/>
      <c r="CY345" s="298"/>
      <c r="CZ345" s="299"/>
      <c r="DA345" s="274"/>
      <c r="DB345" s="275"/>
      <c r="DC345" s="275"/>
      <c r="DD345" s="275"/>
      <c r="DE345" s="275"/>
      <c r="DF345" s="275"/>
      <c r="DG345" s="275"/>
      <c r="DH345" s="275"/>
      <c r="DI345" s="276"/>
      <c r="DJ345" s="262"/>
      <c r="DK345" s="90"/>
      <c r="DL345" s="90"/>
      <c r="DM345" s="90"/>
      <c r="DN345" s="90"/>
      <c r="DO345" s="90"/>
      <c r="DP345" s="90"/>
      <c r="DQ345" s="90"/>
      <c r="DR345" s="90"/>
      <c r="DS345" s="90"/>
      <c r="DT345" s="263"/>
    </row>
    <row r="346" spans="1:124">
      <c r="A346" s="304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85"/>
      <c r="O346" s="286"/>
      <c r="P346" s="286"/>
      <c r="Q346" s="286"/>
      <c r="R346" s="286"/>
      <c r="S346" s="286"/>
      <c r="T346" s="286"/>
      <c r="U346" s="286"/>
      <c r="V346" s="261"/>
      <c r="W346" s="102"/>
      <c r="X346" s="102"/>
      <c r="Y346" s="102"/>
      <c r="Z346" s="102"/>
      <c r="AA346" s="103"/>
      <c r="AB346" s="312"/>
      <c r="AC346" s="313"/>
      <c r="AD346" s="313"/>
      <c r="AE346" s="313"/>
      <c r="AF346" s="313"/>
      <c r="AG346" s="357"/>
      <c r="AH346" s="358"/>
      <c r="AI346" s="358"/>
      <c r="AJ346" s="358"/>
      <c r="AK346" s="358"/>
      <c r="AL346" s="358"/>
      <c r="AM346" s="358"/>
      <c r="AN346" s="358"/>
      <c r="AO346" s="358"/>
      <c r="AP346" s="358"/>
      <c r="AQ346" s="358"/>
      <c r="AR346" s="358"/>
      <c r="AS346" s="358"/>
      <c r="AT346" s="358"/>
      <c r="AU346" s="358"/>
      <c r="AV346" s="359"/>
      <c r="AW346" s="286"/>
      <c r="AX346" s="286"/>
      <c r="AY346" s="286"/>
      <c r="AZ346" s="286"/>
      <c r="BA346" s="286"/>
      <c r="BB346" s="286"/>
      <c r="BC346" s="286"/>
      <c r="BD346" s="286"/>
      <c r="BE346" s="286"/>
      <c r="BF346" s="286"/>
      <c r="BG346" s="286"/>
      <c r="BH346" s="286"/>
      <c r="BI346" s="286"/>
      <c r="BJ346" s="286"/>
      <c r="BK346" s="286"/>
      <c r="BL346" s="286"/>
      <c r="BM346" s="262"/>
      <c r="BN346" s="90"/>
      <c r="BO346" s="90"/>
      <c r="BP346" s="90"/>
      <c r="BQ346" s="90"/>
      <c r="BR346" s="90"/>
      <c r="BS346" s="90"/>
      <c r="BT346" s="91"/>
      <c r="BU346" s="262"/>
      <c r="BV346" s="90"/>
      <c r="BW346" s="90"/>
      <c r="BX346" s="90"/>
      <c r="BY346" s="90"/>
      <c r="BZ346" s="90"/>
      <c r="CA346" s="90"/>
      <c r="CB346" s="91"/>
      <c r="CC346" s="286"/>
      <c r="CD346" s="286"/>
      <c r="CE346" s="286"/>
      <c r="CF346" s="286"/>
      <c r="CG346" s="286"/>
      <c r="CH346" s="286"/>
      <c r="CI346" s="286"/>
      <c r="CJ346" s="286"/>
      <c r="CK346" s="286"/>
      <c r="CL346" s="286"/>
      <c r="CM346" s="286"/>
      <c r="CN346" s="286"/>
      <c r="CO346" s="286"/>
      <c r="CP346" s="286"/>
      <c r="CQ346" s="286"/>
      <c r="CR346" s="286"/>
      <c r="CS346" s="271"/>
      <c r="CT346" s="272"/>
      <c r="CU346" s="298"/>
      <c r="CV346" s="298"/>
      <c r="CW346" s="298"/>
      <c r="CX346" s="298"/>
      <c r="CY346" s="298"/>
      <c r="CZ346" s="299"/>
      <c r="DA346" s="274"/>
      <c r="DB346" s="275"/>
      <c r="DC346" s="275"/>
      <c r="DD346" s="275"/>
      <c r="DE346" s="275"/>
      <c r="DF346" s="275"/>
      <c r="DG346" s="275"/>
      <c r="DH346" s="275"/>
      <c r="DI346" s="276"/>
      <c r="DJ346" s="262"/>
      <c r="DK346" s="90"/>
      <c r="DL346" s="90"/>
      <c r="DM346" s="90"/>
      <c r="DN346" s="90"/>
      <c r="DO346" s="90"/>
      <c r="DP346" s="90"/>
      <c r="DQ346" s="90"/>
      <c r="DR346" s="90"/>
      <c r="DS346" s="90"/>
      <c r="DT346" s="263"/>
    </row>
    <row r="347" spans="1:124">
      <c r="A347" s="288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90"/>
      <c r="N347" s="260"/>
      <c r="O347" s="102"/>
      <c r="P347" s="102"/>
      <c r="Q347" s="102"/>
      <c r="R347" s="102"/>
      <c r="S347" s="102"/>
      <c r="T347" s="102"/>
      <c r="U347" s="103"/>
      <c r="V347" s="261"/>
      <c r="W347" s="102"/>
      <c r="X347" s="102"/>
      <c r="Y347" s="102"/>
      <c r="Z347" s="102"/>
      <c r="AA347" s="103"/>
      <c r="AB347" s="291"/>
      <c r="AC347" s="295"/>
      <c r="AD347" s="295"/>
      <c r="AE347" s="295"/>
      <c r="AF347" s="296"/>
      <c r="AG347" s="262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1"/>
      <c r="AW347" s="284"/>
      <c r="AX347" s="90"/>
      <c r="AY347" s="90"/>
      <c r="AZ347" s="90"/>
      <c r="BA347" s="90"/>
      <c r="BB347" s="90"/>
      <c r="BC347" s="90"/>
      <c r="BD347" s="91"/>
      <c r="BE347" s="284"/>
      <c r="BF347" s="90"/>
      <c r="BG347" s="90"/>
      <c r="BH347" s="90"/>
      <c r="BI347" s="90"/>
      <c r="BJ347" s="90"/>
      <c r="BK347" s="90"/>
      <c r="BL347" s="91"/>
      <c r="BM347" s="285"/>
      <c r="BN347" s="286"/>
      <c r="BO347" s="286"/>
      <c r="BP347" s="286"/>
      <c r="BQ347" s="286"/>
      <c r="BR347" s="286"/>
      <c r="BS347" s="286"/>
      <c r="BT347" s="286"/>
      <c r="BU347" s="262"/>
      <c r="BV347" s="90"/>
      <c r="BW347" s="90"/>
      <c r="BX347" s="90"/>
      <c r="BY347" s="90"/>
      <c r="BZ347" s="90"/>
      <c r="CA347" s="90"/>
      <c r="CB347" s="91"/>
      <c r="CC347" s="284"/>
      <c r="CD347" s="90"/>
      <c r="CE347" s="90"/>
      <c r="CF347" s="90"/>
      <c r="CG347" s="90"/>
      <c r="CH347" s="90"/>
      <c r="CI347" s="90"/>
      <c r="CJ347" s="91"/>
      <c r="CK347" s="284"/>
      <c r="CL347" s="90"/>
      <c r="CM347" s="90"/>
      <c r="CN347" s="90"/>
      <c r="CO347" s="90"/>
      <c r="CP347" s="90"/>
      <c r="CQ347" s="90"/>
      <c r="CR347" s="91"/>
      <c r="CS347" s="271"/>
      <c r="CT347" s="272"/>
      <c r="CU347" s="298"/>
      <c r="CV347" s="298"/>
      <c r="CW347" s="298"/>
      <c r="CX347" s="298"/>
      <c r="CY347" s="298"/>
      <c r="CZ347" s="299"/>
      <c r="DA347" s="274"/>
      <c r="DB347" s="275"/>
      <c r="DC347" s="275"/>
      <c r="DD347" s="275"/>
      <c r="DE347" s="275"/>
      <c r="DF347" s="275"/>
      <c r="DG347" s="275"/>
      <c r="DH347" s="275"/>
      <c r="DI347" s="276"/>
      <c r="DJ347" s="262"/>
      <c r="DK347" s="90"/>
      <c r="DL347" s="90"/>
      <c r="DM347" s="90"/>
      <c r="DN347" s="90"/>
      <c r="DO347" s="90"/>
      <c r="DP347" s="90"/>
      <c r="DQ347" s="90"/>
      <c r="DR347" s="90"/>
      <c r="DS347" s="90"/>
      <c r="DT347" s="263"/>
    </row>
    <row r="348" spans="1:124">
      <c r="A348" s="288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90"/>
      <c r="N348" s="262"/>
      <c r="O348" s="90"/>
      <c r="P348" s="90"/>
      <c r="Q348" s="90"/>
      <c r="R348" s="90"/>
      <c r="S348" s="90"/>
      <c r="T348" s="90"/>
      <c r="U348" s="91"/>
      <c r="V348" s="297"/>
      <c r="W348" s="102"/>
      <c r="X348" s="102"/>
      <c r="Y348" s="102"/>
      <c r="Z348" s="102"/>
      <c r="AA348" s="103"/>
      <c r="AB348" s="291"/>
      <c r="AC348" s="295"/>
      <c r="AD348" s="295"/>
      <c r="AE348" s="295"/>
      <c r="AF348" s="296"/>
      <c r="AG348" s="262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1"/>
      <c r="AW348" s="262"/>
      <c r="AX348" s="90"/>
      <c r="AY348" s="90"/>
      <c r="AZ348" s="90"/>
      <c r="BA348" s="90"/>
      <c r="BB348" s="90"/>
      <c r="BC348" s="90"/>
      <c r="BD348" s="91"/>
      <c r="BE348" s="262"/>
      <c r="BF348" s="90"/>
      <c r="BG348" s="90"/>
      <c r="BH348" s="90"/>
      <c r="BI348" s="90"/>
      <c r="BJ348" s="90"/>
      <c r="BK348" s="90"/>
      <c r="BL348" s="91"/>
      <c r="BM348" s="262"/>
      <c r="BN348" s="90"/>
      <c r="BO348" s="90"/>
      <c r="BP348" s="90"/>
      <c r="BQ348" s="90"/>
      <c r="BR348" s="90"/>
      <c r="BS348" s="90"/>
      <c r="BT348" s="91"/>
      <c r="BU348" s="262"/>
      <c r="BV348" s="90"/>
      <c r="BW348" s="90"/>
      <c r="BX348" s="90"/>
      <c r="BY348" s="90"/>
      <c r="BZ348" s="90"/>
      <c r="CA348" s="90"/>
      <c r="CB348" s="91"/>
      <c r="CC348" s="262"/>
      <c r="CD348" s="90"/>
      <c r="CE348" s="90"/>
      <c r="CF348" s="90"/>
      <c r="CG348" s="90"/>
      <c r="CH348" s="90"/>
      <c r="CI348" s="90"/>
      <c r="CJ348" s="91"/>
      <c r="CK348" s="262"/>
      <c r="CL348" s="90"/>
      <c r="CM348" s="90"/>
      <c r="CN348" s="90"/>
      <c r="CO348" s="90"/>
      <c r="CP348" s="90"/>
      <c r="CQ348" s="90"/>
      <c r="CR348" s="91"/>
      <c r="CS348" s="271"/>
      <c r="CT348" s="272"/>
      <c r="CU348" s="298"/>
      <c r="CV348" s="298"/>
      <c r="CW348" s="298"/>
      <c r="CX348" s="298"/>
      <c r="CY348" s="298"/>
      <c r="CZ348" s="299"/>
      <c r="DA348" s="274"/>
      <c r="DB348" s="275"/>
      <c r="DC348" s="275"/>
      <c r="DD348" s="275"/>
      <c r="DE348" s="275"/>
      <c r="DF348" s="275"/>
      <c r="DG348" s="275"/>
      <c r="DH348" s="275"/>
      <c r="DI348" s="276"/>
      <c r="DJ348" s="262"/>
      <c r="DK348" s="90"/>
      <c r="DL348" s="90"/>
      <c r="DM348" s="90"/>
      <c r="DN348" s="90"/>
      <c r="DO348" s="90"/>
      <c r="DP348" s="90"/>
      <c r="DQ348" s="90"/>
      <c r="DR348" s="90"/>
      <c r="DS348" s="90"/>
      <c r="DT348" s="263"/>
    </row>
    <row r="349" spans="1:124">
      <c r="A349" s="288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90"/>
      <c r="N349" s="262"/>
      <c r="O349" s="90"/>
      <c r="P349" s="90"/>
      <c r="Q349" s="90"/>
      <c r="R349" s="90"/>
      <c r="S349" s="90"/>
      <c r="T349" s="90"/>
      <c r="U349" s="91"/>
      <c r="V349" s="297"/>
      <c r="W349" s="102"/>
      <c r="X349" s="102"/>
      <c r="Y349" s="102"/>
      <c r="Z349" s="102"/>
      <c r="AA349" s="103"/>
      <c r="AB349" s="291"/>
      <c r="AC349" s="295"/>
      <c r="AD349" s="295"/>
      <c r="AE349" s="295"/>
      <c r="AF349" s="296"/>
      <c r="AG349" s="262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1"/>
      <c r="AW349" s="262"/>
      <c r="AX349" s="90"/>
      <c r="AY349" s="90"/>
      <c r="AZ349" s="90"/>
      <c r="BA349" s="90"/>
      <c r="BB349" s="90"/>
      <c r="BC349" s="90"/>
      <c r="BD349" s="91"/>
      <c r="BE349" s="262"/>
      <c r="BF349" s="90"/>
      <c r="BG349" s="90"/>
      <c r="BH349" s="90"/>
      <c r="BI349" s="90"/>
      <c r="BJ349" s="90"/>
      <c r="BK349" s="90"/>
      <c r="BL349" s="91"/>
      <c r="BM349" s="262"/>
      <c r="BN349" s="90"/>
      <c r="BO349" s="90"/>
      <c r="BP349" s="90"/>
      <c r="BQ349" s="90"/>
      <c r="BR349" s="90"/>
      <c r="BS349" s="90"/>
      <c r="BT349" s="91"/>
      <c r="BU349" s="262"/>
      <c r="BV349" s="90"/>
      <c r="BW349" s="90"/>
      <c r="BX349" s="90"/>
      <c r="BY349" s="90"/>
      <c r="BZ349" s="90"/>
      <c r="CA349" s="90"/>
      <c r="CB349" s="91"/>
      <c r="CC349" s="262"/>
      <c r="CD349" s="90"/>
      <c r="CE349" s="90"/>
      <c r="CF349" s="90"/>
      <c r="CG349" s="90"/>
      <c r="CH349" s="90"/>
      <c r="CI349" s="90"/>
      <c r="CJ349" s="91"/>
      <c r="CK349" s="262"/>
      <c r="CL349" s="90"/>
      <c r="CM349" s="90"/>
      <c r="CN349" s="90"/>
      <c r="CO349" s="90"/>
      <c r="CP349" s="90"/>
      <c r="CQ349" s="90"/>
      <c r="CR349" s="91"/>
      <c r="CS349" s="271"/>
      <c r="CT349" s="272"/>
      <c r="CU349" s="298"/>
      <c r="CV349" s="298"/>
      <c r="CW349" s="298"/>
      <c r="CX349" s="298"/>
      <c r="CY349" s="298"/>
      <c r="CZ349" s="299"/>
      <c r="DA349" s="274"/>
      <c r="DB349" s="275"/>
      <c r="DC349" s="275"/>
      <c r="DD349" s="275"/>
      <c r="DE349" s="275"/>
      <c r="DF349" s="275"/>
      <c r="DG349" s="275"/>
      <c r="DH349" s="275"/>
      <c r="DI349" s="276"/>
      <c r="DJ349" s="262"/>
      <c r="DK349" s="90"/>
      <c r="DL349" s="90"/>
      <c r="DM349" s="90"/>
      <c r="DN349" s="90"/>
      <c r="DO349" s="90"/>
      <c r="DP349" s="90"/>
      <c r="DQ349" s="90"/>
      <c r="DR349" s="90"/>
      <c r="DS349" s="90"/>
      <c r="DT349" s="263"/>
    </row>
    <row r="350" spans="1:124">
      <c r="A350" s="304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85"/>
      <c r="O350" s="286"/>
      <c r="P350" s="286"/>
      <c r="Q350" s="286"/>
      <c r="R350" s="286"/>
      <c r="S350" s="286"/>
      <c r="T350" s="286"/>
      <c r="U350" s="286"/>
      <c r="V350" s="297"/>
      <c r="W350" s="102"/>
      <c r="X350" s="102"/>
      <c r="Y350" s="102"/>
      <c r="Z350" s="102"/>
      <c r="AA350" s="103"/>
      <c r="AB350" s="312"/>
      <c r="AC350" s="313"/>
      <c r="AD350" s="313"/>
      <c r="AE350" s="313"/>
      <c r="AF350" s="313"/>
      <c r="AG350" s="285"/>
      <c r="AH350" s="286"/>
      <c r="AI350" s="286"/>
      <c r="AJ350" s="286"/>
      <c r="AK350" s="286"/>
      <c r="AL350" s="286"/>
      <c r="AM350" s="286"/>
      <c r="AN350" s="286"/>
      <c r="AO350" s="286"/>
      <c r="AP350" s="286"/>
      <c r="AQ350" s="286"/>
      <c r="AR350" s="286"/>
      <c r="AS350" s="286"/>
      <c r="AT350" s="286"/>
      <c r="AU350" s="286"/>
      <c r="AV350" s="286"/>
      <c r="AW350" s="285"/>
      <c r="AX350" s="286"/>
      <c r="AY350" s="286"/>
      <c r="AZ350" s="286"/>
      <c r="BA350" s="286"/>
      <c r="BB350" s="286"/>
      <c r="BC350" s="286"/>
      <c r="BD350" s="286"/>
      <c r="BE350" s="285"/>
      <c r="BF350" s="286"/>
      <c r="BG350" s="286"/>
      <c r="BH350" s="286"/>
      <c r="BI350" s="286"/>
      <c r="BJ350" s="286"/>
      <c r="BK350" s="286"/>
      <c r="BL350" s="286"/>
      <c r="BM350" s="262"/>
      <c r="BN350" s="90"/>
      <c r="BO350" s="90"/>
      <c r="BP350" s="90"/>
      <c r="BQ350" s="90"/>
      <c r="BR350" s="90"/>
      <c r="BS350" s="90"/>
      <c r="BT350" s="91"/>
      <c r="BU350" s="262"/>
      <c r="BV350" s="90"/>
      <c r="BW350" s="90"/>
      <c r="BX350" s="90"/>
      <c r="BY350" s="90"/>
      <c r="BZ350" s="90"/>
      <c r="CA350" s="90"/>
      <c r="CB350" s="91"/>
      <c r="CC350" s="285"/>
      <c r="CD350" s="286"/>
      <c r="CE350" s="286"/>
      <c r="CF350" s="286"/>
      <c r="CG350" s="286"/>
      <c r="CH350" s="286"/>
      <c r="CI350" s="286"/>
      <c r="CJ350" s="286"/>
      <c r="CK350" s="262"/>
      <c r="CL350" s="90"/>
      <c r="CM350" s="90"/>
      <c r="CN350" s="90"/>
      <c r="CO350" s="90"/>
      <c r="CP350" s="90"/>
      <c r="CQ350" s="90"/>
      <c r="CR350" s="91"/>
      <c r="CS350" s="271"/>
      <c r="CT350" s="272"/>
      <c r="CU350" s="298"/>
      <c r="CV350" s="298"/>
      <c r="CW350" s="298"/>
      <c r="CX350" s="298"/>
      <c r="CY350" s="298"/>
      <c r="CZ350" s="299"/>
      <c r="DA350" s="274"/>
      <c r="DB350" s="275"/>
      <c r="DC350" s="275"/>
      <c r="DD350" s="275"/>
      <c r="DE350" s="275"/>
      <c r="DF350" s="275"/>
      <c r="DG350" s="275"/>
      <c r="DH350" s="275"/>
      <c r="DI350" s="276"/>
      <c r="DJ350" s="285"/>
      <c r="DK350" s="286"/>
      <c r="DL350" s="286"/>
      <c r="DM350" s="286"/>
      <c r="DN350" s="286"/>
      <c r="DO350" s="286"/>
      <c r="DP350" s="286"/>
      <c r="DQ350" s="286"/>
      <c r="DR350" s="286"/>
      <c r="DS350" s="286"/>
      <c r="DT350" s="287"/>
    </row>
    <row r="351" spans="1:124">
      <c r="A351" s="304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85"/>
      <c r="O351" s="286"/>
      <c r="P351" s="286"/>
      <c r="Q351" s="286"/>
      <c r="R351" s="286"/>
      <c r="S351" s="286"/>
      <c r="T351" s="286"/>
      <c r="U351" s="286"/>
      <c r="V351" s="297"/>
      <c r="W351" s="102"/>
      <c r="X351" s="102"/>
      <c r="Y351" s="102"/>
      <c r="Z351" s="102"/>
      <c r="AA351" s="103"/>
      <c r="AB351" s="312"/>
      <c r="AC351" s="313"/>
      <c r="AD351" s="313"/>
      <c r="AE351" s="313"/>
      <c r="AF351" s="313"/>
      <c r="AG351" s="285"/>
      <c r="AH351" s="286"/>
      <c r="AI351" s="286"/>
      <c r="AJ351" s="286"/>
      <c r="AK351" s="286"/>
      <c r="AL351" s="286"/>
      <c r="AM351" s="286"/>
      <c r="AN351" s="286"/>
      <c r="AO351" s="286"/>
      <c r="AP351" s="286"/>
      <c r="AQ351" s="286"/>
      <c r="AR351" s="286"/>
      <c r="AS351" s="286"/>
      <c r="AT351" s="286"/>
      <c r="AU351" s="286"/>
      <c r="AV351" s="286"/>
      <c r="AW351" s="286"/>
      <c r="AX351" s="286"/>
      <c r="AY351" s="286"/>
      <c r="AZ351" s="286"/>
      <c r="BA351" s="286"/>
      <c r="BB351" s="286"/>
      <c r="BC351" s="286"/>
      <c r="BD351" s="286"/>
      <c r="BE351" s="286"/>
      <c r="BF351" s="286"/>
      <c r="BG351" s="286"/>
      <c r="BH351" s="286"/>
      <c r="BI351" s="286"/>
      <c r="BJ351" s="286"/>
      <c r="BK351" s="286"/>
      <c r="BL351" s="286"/>
      <c r="BM351" s="285"/>
      <c r="BN351" s="286"/>
      <c r="BO351" s="286"/>
      <c r="BP351" s="286"/>
      <c r="BQ351" s="286"/>
      <c r="BR351" s="286"/>
      <c r="BS351" s="286"/>
      <c r="BT351" s="286"/>
      <c r="BU351" s="262"/>
      <c r="BV351" s="90"/>
      <c r="BW351" s="90"/>
      <c r="BX351" s="90"/>
      <c r="BY351" s="90"/>
      <c r="BZ351" s="90"/>
      <c r="CA351" s="90"/>
      <c r="CB351" s="91"/>
      <c r="CC351" s="286"/>
      <c r="CD351" s="286"/>
      <c r="CE351" s="286"/>
      <c r="CF351" s="286"/>
      <c r="CG351" s="286"/>
      <c r="CH351" s="286"/>
      <c r="CI351" s="286"/>
      <c r="CJ351" s="286"/>
      <c r="CK351" s="286"/>
      <c r="CL351" s="286"/>
      <c r="CM351" s="286"/>
      <c r="CN351" s="286"/>
      <c r="CO351" s="286"/>
      <c r="CP351" s="286"/>
      <c r="CQ351" s="286"/>
      <c r="CR351" s="286"/>
      <c r="CS351" s="271"/>
      <c r="CT351" s="272"/>
      <c r="CU351" s="298"/>
      <c r="CV351" s="298"/>
      <c r="CW351" s="298"/>
      <c r="CX351" s="298"/>
      <c r="CY351" s="298"/>
      <c r="CZ351" s="299"/>
      <c r="DA351" s="274"/>
      <c r="DB351" s="275"/>
      <c r="DC351" s="275"/>
      <c r="DD351" s="275"/>
      <c r="DE351" s="275"/>
      <c r="DF351" s="275"/>
      <c r="DG351" s="275"/>
      <c r="DH351" s="275"/>
      <c r="DI351" s="276"/>
      <c r="DJ351" s="285"/>
      <c r="DK351" s="286"/>
      <c r="DL351" s="286"/>
      <c r="DM351" s="286"/>
      <c r="DN351" s="286"/>
      <c r="DO351" s="286"/>
      <c r="DP351" s="286"/>
      <c r="DQ351" s="286"/>
      <c r="DR351" s="286"/>
      <c r="DS351" s="286"/>
      <c r="DT351" s="287"/>
    </row>
    <row r="352" spans="1:124">
      <c r="A352" s="304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85"/>
      <c r="O352" s="286"/>
      <c r="P352" s="286"/>
      <c r="Q352" s="286"/>
      <c r="R352" s="286"/>
      <c r="S352" s="286"/>
      <c r="T352" s="286"/>
      <c r="U352" s="286"/>
      <c r="V352" s="360"/>
      <c r="W352" s="102"/>
      <c r="X352" s="102"/>
      <c r="Y352" s="102"/>
      <c r="Z352" s="102"/>
      <c r="AA352" s="103"/>
      <c r="AB352" s="312"/>
      <c r="AC352" s="313"/>
      <c r="AD352" s="313"/>
      <c r="AE352" s="313"/>
      <c r="AF352" s="313"/>
      <c r="AG352" s="285"/>
      <c r="AH352" s="286"/>
      <c r="AI352" s="286"/>
      <c r="AJ352" s="286"/>
      <c r="AK352" s="286"/>
      <c r="AL352" s="286"/>
      <c r="AM352" s="286"/>
      <c r="AN352" s="286"/>
      <c r="AO352" s="286"/>
      <c r="AP352" s="286"/>
      <c r="AQ352" s="286"/>
      <c r="AR352" s="286"/>
      <c r="AS352" s="286"/>
      <c r="AT352" s="286"/>
      <c r="AU352" s="286"/>
      <c r="AV352" s="286"/>
      <c r="AW352" s="286"/>
      <c r="AX352" s="286"/>
      <c r="AY352" s="286"/>
      <c r="AZ352" s="286"/>
      <c r="BA352" s="286"/>
      <c r="BB352" s="286"/>
      <c r="BC352" s="286"/>
      <c r="BD352" s="286"/>
      <c r="BE352" s="286"/>
      <c r="BF352" s="286"/>
      <c r="BG352" s="286"/>
      <c r="BH352" s="286"/>
      <c r="BI352" s="286"/>
      <c r="BJ352" s="286"/>
      <c r="BK352" s="286"/>
      <c r="BL352" s="286"/>
      <c r="BM352" s="286"/>
      <c r="BN352" s="286"/>
      <c r="BO352" s="286"/>
      <c r="BP352" s="286"/>
      <c r="BQ352" s="286"/>
      <c r="BR352" s="286"/>
      <c r="BS352" s="286"/>
      <c r="BT352" s="286"/>
      <c r="BU352" s="285"/>
      <c r="BV352" s="286"/>
      <c r="BW352" s="286"/>
      <c r="BX352" s="286"/>
      <c r="BY352" s="286"/>
      <c r="BZ352" s="286"/>
      <c r="CA352" s="286"/>
      <c r="CB352" s="286"/>
      <c r="CC352" s="286"/>
      <c r="CD352" s="286"/>
      <c r="CE352" s="286"/>
      <c r="CF352" s="286"/>
      <c r="CG352" s="286"/>
      <c r="CH352" s="286"/>
      <c r="CI352" s="286"/>
      <c r="CJ352" s="286"/>
      <c r="CK352" s="286"/>
      <c r="CL352" s="286"/>
      <c r="CM352" s="286"/>
      <c r="CN352" s="286"/>
      <c r="CO352" s="286"/>
      <c r="CP352" s="286"/>
      <c r="CQ352" s="286"/>
      <c r="CR352" s="286"/>
      <c r="CS352" s="271"/>
      <c r="CT352" s="272"/>
      <c r="CU352" s="298"/>
      <c r="CV352" s="298"/>
      <c r="CW352" s="298"/>
      <c r="CX352" s="298"/>
      <c r="CY352" s="298"/>
      <c r="CZ352" s="299"/>
      <c r="DA352" s="274"/>
      <c r="DB352" s="275"/>
      <c r="DC352" s="275"/>
      <c r="DD352" s="275"/>
      <c r="DE352" s="275"/>
      <c r="DF352" s="275"/>
      <c r="DG352" s="275"/>
      <c r="DH352" s="275"/>
      <c r="DI352" s="276"/>
      <c r="DJ352" s="285"/>
      <c r="DK352" s="286"/>
      <c r="DL352" s="286"/>
      <c r="DM352" s="286"/>
      <c r="DN352" s="286"/>
      <c r="DO352" s="286"/>
      <c r="DP352" s="286"/>
      <c r="DQ352" s="286"/>
      <c r="DR352" s="286"/>
      <c r="DS352" s="286"/>
      <c r="DT352" s="287"/>
    </row>
    <row r="353" spans="1:124">
      <c r="A353" s="304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85"/>
      <c r="O353" s="286"/>
      <c r="P353" s="286"/>
      <c r="Q353" s="286"/>
      <c r="R353" s="286"/>
      <c r="S353" s="286"/>
      <c r="T353" s="286"/>
      <c r="U353" s="286"/>
      <c r="V353" s="297"/>
      <c r="W353" s="102"/>
      <c r="X353" s="102"/>
      <c r="Y353" s="102"/>
      <c r="Z353" s="102"/>
      <c r="AA353" s="103"/>
      <c r="AB353" s="312"/>
      <c r="AC353" s="313"/>
      <c r="AD353" s="313"/>
      <c r="AE353" s="313"/>
      <c r="AF353" s="313"/>
      <c r="AG353" s="285"/>
      <c r="AH353" s="286"/>
      <c r="AI353" s="286"/>
      <c r="AJ353" s="286"/>
      <c r="AK353" s="286"/>
      <c r="AL353" s="286"/>
      <c r="AM353" s="286"/>
      <c r="AN353" s="286"/>
      <c r="AO353" s="286"/>
      <c r="AP353" s="286"/>
      <c r="AQ353" s="286"/>
      <c r="AR353" s="286"/>
      <c r="AS353" s="286"/>
      <c r="AT353" s="286"/>
      <c r="AU353" s="286"/>
      <c r="AV353" s="286"/>
      <c r="AW353" s="285"/>
      <c r="AX353" s="286"/>
      <c r="AY353" s="286"/>
      <c r="AZ353" s="286"/>
      <c r="BA353" s="286"/>
      <c r="BB353" s="286"/>
      <c r="BC353" s="286"/>
      <c r="BD353" s="286"/>
      <c r="BE353" s="286"/>
      <c r="BF353" s="286"/>
      <c r="BG353" s="286"/>
      <c r="BH353" s="286"/>
      <c r="BI353" s="286"/>
      <c r="BJ353" s="286"/>
      <c r="BK353" s="286"/>
      <c r="BL353" s="286"/>
      <c r="BM353" s="285"/>
      <c r="BN353" s="286"/>
      <c r="BO353" s="286"/>
      <c r="BP353" s="286"/>
      <c r="BQ353" s="286"/>
      <c r="BR353" s="286"/>
      <c r="BS353" s="286"/>
      <c r="BT353" s="286"/>
      <c r="BU353" s="285"/>
      <c r="BV353" s="286"/>
      <c r="BW353" s="286"/>
      <c r="BX353" s="286"/>
      <c r="BY353" s="286"/>
      <c r="BZ353" s="286"/>
      <c r="CA353" s="286"/>
      <c r="CB353" s="286"/>
      <c r="CC353" s="286"/>
      <c r="CD353" s="286"/>
      <c r="CE353" s="286"/>
      <c r="CF353" s="286"/>
      <c r="CG353" s="286"/>
      <c r="CH353" s="286"/>
      <c r="CI353" s="286"/>
      <c r="CJ353" s="286"/>
      <c r="CK353" s="286"/>
      <c r="CL353" s="286"/>
      <c r="CM353" s="286"/>
      <c r="CN353" s="286"/>
      <c r="CO353" s="286"/>
      <c r="CP353" s="286"/>
      <c r="CQ353" s="286"/>
      <c r="CR353" s="286"/>
      <c r="CS353" s="271"/>
      <c r="CT353" s="272"/>
      <c r="CU353" s="298"/>
      <c r="CV353" s="298"/>
      <c r="CW353" s="298"/>
      <c r="CX353" s="298"/>
      <c r="CY353" s="298"/>
      <c r="CZ353" s="299"/>
      <c r="DA353" s="274"/>
      <c r="DB353" s="275"/>
      <c r="DC353" s="275"/>
      <c r="DD353" s="275"/>
      <c r="DE353" s="275"/>
      <c r="DF353" s="275"/>
      <c r="DG353" s="275"/>
      <c r="DH353" s="275"/>
      <c r="DI353" s="276"/>
      <c r="DJ353" s="285"/>
      <c r="DK353" s="286"/>
      <c r="DL353" s="286"/>
      <c r="DM353" s="286"/>
      <c r="DN353" s="286"/>
      <c r="DO353" s="286"/>
      <c r="DP353" s="286"/>
      <c r="DQ353" s="286"/>
      <c r="DR353" s="286"/>
      <c r="DS353" s="286"/>
      <c r="DT353" s="287"/>
    </row>
    <row r="354" spans="1:124">
      <c r="A354" s="304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85"/>
      <c r="O354" s="286"/>
      <c r="P354" s="286"/>
      <c r="Q354" s="286"/>
      <c r="R354" s="286"/>
      <c r="S354" s="286"/>
      <c r="T354" s="286"/>
      <c r="U354" s="286"/>
      <c r="V354" s="297"/>
      <c r="W354" s="102"/>
      <c r="X354" s="102"/>
      <c r="Y354" s="102"/>
      <c r="Z354" s="102"/>
      <c r="AA354" s="103"/>
      <c r="AB354" s="312"/>
      <c r="AC354" s="313"/>
      <c r="AD354" s="313"/>
      <c r="AE354" s="313"/>
      <c r="AF354" s="313"/>
      <c r="AG354" s="285"/>
      <c r="AH354" s="286"/>
      <c r="AI354" s="286"/>
      <c r="AJ354" s="286"/>
      <c r="AK354" s="286"/>
      <c r="AL354" s="286"/>
      <c r="AM354" s="286"/>
      <c r="AN354" s="286"/>
      <c r="AO354" s="286"/>
      <c r="AP354" s="286"/>
      <c r="AQ354" s="286"/>
      <c r="AR354" s="286"/>
      <c r="AS354" s="286"/>
      <c r="AT354" s="286"/>
      <c r="AU354" s="286"/>
      <c r="AV354" s="286"/>
      <c r="AW354" s="285"/>
      <c r="AX354" s="286"/>
      <c r="AY354" s="286"/>
      <c r="AZ354" s="286"/>
      <c r="BA354" s="286"/>
      <c r="BB354" s="286"/>
      <c r="BC354" s="286"/>
      <c r="BD354" s="286"/>
      <c r="BE354" s="285"/>
      <c r="BF354" s="286"/>
      <c r="BG354" s="286"/>
      <c r="BH354" s="286"/>
      <c r="BI354" s="286"/>
      <c r="BJ354" s="286"/>
      <c r="BK354" s="286"/>
      <c r="BL354" s="286"/>
      <c r="BM354" s="285"/>
      <c r="BN354" s="286"/>
      <c r="BO354" s="286"/>
      <c r="BP354" s="286"/>
      <c r="BQ354" s="286"/>
      <c r="BR354" s="286"/>
      <c r="BS354" s="286"/>
      <c r="BT354" s="286"/>
      <c r="BU354" s="285"/>
      <c r="BV354" s="286"/>
      <c r="BW354" s="286"/>
      <c r="BX354" s="286"/>
      <c r="BY354" s="286"/>
      <c r="BZ354" s="286"/>
      <c r="CA354" s="286"/>
      <c r="CB354" s="286"/>
      <c r="CC354" s="286"/>
      <c r="CD354" s="286"/>
      <c r="CE354" s="286"/>
      <c r="CF354" s="286"/>
      <c r="CG354" s="286"/>
      <c r="CH354" s="286"/>
      <c r="CI354" s="286"/>
      <c r="CJ354" s="286"/>
      <c r="CK354" s="286"/>
      <c r="CL354" s="286"/>
      <c r="CM354" s="286"/>
      <c r="CN354" s="286"/>
      <c r="CO354" s="286"/>
      <c r="CP354" s="286"/>
      <c r="CQ354" s="286"/>
      <c r="CR354" s="286"/>
      <c r="CS354" s="271"/>
      <c r="CT354" s="272"/>
      <c r="CU354" s="298"/>
      <c r="CV354" s="298"/>
      <c r="CW354" s="298"/>
      <c r="CX354" s="298"/>
      <c r="CY354" s="298"/>
      <c r="CZ354" s="299"/>
      <c r="DA354" s="274"/>
      <c r="DB354" s="275"/>
      <c r="DC354" s="275"/>
      <c r="DD354" s="275"/>
      <c r="DE354" s="275"/>
      <c r="DF354" s="275"/>
      <c r="DG354" s="275"/>
      <c r="DH354" s="275"/>
      <c r="DI354" s="276"/>
      <c r="DJ354" s="285"/>
      <c r="DK354" s="286"/>
      <c r="DL354" s="286"/>
      <c r="DM354" s="286"/>
      <c r="DN354" s="286"/>
      <c r="DO354" s="286"/>
      <c r="DP354" s="286"/>
      <c r="DQ354" s="286"/>
      <c r="DR354" s="286"/>
      <c r="DS354" s="286"/>
      <c r="DT354" s="287"/>
    </row>
    <row r="355" spans="1:124" ht="15" thickBot="1">
      <c r="A355" s="331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21"/>
      <c r="O355" s="322"/>
      <c r="P355" s="322"/>
      <c r="Q355" s="322"/>
      <c r="R355" s="322"/>
      <c r="S355" s="322"/>
      <c r="T355" s="322"/>
      <c r="U355" s="322"/>
      <c r="V355" s="297"/>
      <c r="W355" s="102"/>
      <c r="X355" s="102"/>
      <c r="Y355" s="102"/>
      <c r="Z355" s="102"/>
      <c r="AA355" s="103"/>
      <c r="AB355" s="312"/>
      <c r="AC355" s="313"/>
      <c r="AD355" s="313"/>
      <c r="AE355" s="313"/>
      <c r="AF355" s="313"/>
      <c r="AG355" s="321"/>
      <c r="AH355" s="322"/>
      <c r="AI355" s="322"/>
      <c r="AJ355" s="322"/>
      <c r="AK355" s="322"/>
      <c r="AL355" s="322"/>
      <c r="AM355" s="322"/>
      <c r="AN355" s="322"/>
      <c r="AO355" s="322"/>
      <c r="AP355" s="322"/>
      <c r="AQ355" s="322"/>
      <c r="AR355" s="322"/>
      <c r="AS355" s="322"/>
      <c r="AT355" s="322"/>
      <c r="AU355" s="322"/>
      <c r="AV355" s="322"/>
      <c r="AW355" s="322"/>
      <c r="AX355" s="322"/>
      <c r="AY355" s="322"/>
      <c r="AZ355" s="322"/>
      <c r="BA355" s="322"/>
      <c r="BB355" s="322"/>
      <c r="BC355" s="322"/>
      <c r="BD355" s="322"/>
      <c r="BE355" s="321"/>
      <c r="BF355" s="322"/>
      <c r="BG355" s="322"/>
      <c r="BH355" s="322"/>
      <c r="BI355" s="322"/>
      <c r="BJ355" s="322"/>
      <c r="BK355" s="322"/>
      <c r="BL355" s="322"/>
      <c r="BM355" s="322"/>
      <c r="BN355" s="322"/>
      <c r="BO355" s="322"/>
      <c r="BP355" s="322"/>
      <c r="BQ355" s="322"/>
      <c r="BR355" s="322"/>
      <c r="BS355" s="322"/>
      <c r="BT355" s="322"/>
      <c r="BU355" s="322"/>
      <c r="BV355" s="322"/>
      <c r="BW355" s="322"/>
      <c r="BX355" s="322"/>
      <c r="BY355" s="322"/>
      <c r="BZ355" s="322"/>
      <c r="CA355" s="322"/>
      <c r="CB355" s="322"/>
      <c r="CC355" s="322"/>
      <c r="CD355" s="322"/>
      <c r="CE355" s="322"/>
      <c r="CF355" s="322"/>
      <c r="CG355" s="322"/>
      <c r="CH355" s="322"/>
      <c r="CI355" s="322"/>
      <c r="CJ355" s="322"/>
      <c r="CK355" s="322"/>
      <c r="CL355" s="322"/>
      <c r="CM355" s="322"/>
      <c r="CN355" s="322"/>
      <c r="CO355" s="322"/>
      <c r="CP355" s="322"/>
      <c r="CQ355" s="322"/>
      <c r="CR355" s="322"/>
      <c r="CS355" s="271"/>
      <c r="CT355" s="272"/>
      <c r="CU355" s="298"/>
      <c r="CV355" s="298"/>
      <c r="CW355" s="298"/>
      <c r="CX355" s="298"/>
      <c r="CY355" s="298"/>
      <c r="CZ355" s="299"/>
      <c r="DA355" s="274"/>
      <c r="DB355" s="275"/>
      <c r="DC355" s="275"/>
      <c r="DD355" s="275"/>
      <c r="DE355" s="275"/>
      <c r="DF355" s="275"/>
      <c r="DG355" s="275"/>
      <c r="DH355" s="275"/>
      <c r="DI355" s="276"/>
      <c r="DJ355" s="285"/>
      <c r="DK355" s="286"/>
      <c r="DL355" s="286"/>
      <c r="DM355" s="286"/>
      <c r="DN355" s="286"/>
      <c r="DO355" s="286"/>
      <c r="DP355" s="286"/>
      <c r="DQ355" s="286"/>
      <c r="DR355" s="286"/>
      <c r="DS355" s="286"/>
      <c r="DT355" s="287"/>
    </row>
    <row r="356" spans="1:124" ht="21.6" thickBot="1">
      <c r="A356" s="3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323" t="s">
        <v>82</v>
      </c>
      <c r="Q356" s="323"/>
      <c r="R356" s="323"/>
      <c r="S356" s="323"/>
      <c r="T356" s="323"/>
      <c r="U356" s="323"/>
      <c r="V356" s="323"/>
      <c r="W356" s="323"/>
      <c r="X356" s="323"/>
      <c r="Y356" s="323"/>
      <c r="Z356" s="323"/>
      <c r="AA356" s="323"/>
      <c r="AB356" s="323"/>
      <c r="AC356" s="323"/>
      <c r="AD356" s="323"/>
      <c r="AE356" s="323"/>
      <c r="AF356" s="323"/>
      <c r="AG356" s="323"/>
      <c r="AH356" s="323"/>
      <c r="AI356" s="323"/>
      <c r="AJ356" s="323"/>
      <c r="AK356" s="323"/>
      <c r="AL356" s="323"/>
      <c r="AM356" s="323"/>
      <c r="AN356" s="323"/>
      <c r="AO356" s="323"/>
      <c r="AP356" s="323"/>
      <c r="AQ356" s="323"/>
      <c r="AR356" s="323"/>
      <c r="AS356" s="323"/>
      <c r="AT356" s="323"/>
      <c r="AU356" s="323"/>
      <c r="AV356" s="323"/>
      <c r="AW356" s="323"/>
      <c r="AX356" s="323"/>
      <c r="AY356" s="323"/>
      <c r="AZ356" s="323"/>
      <c r="BA356" s="323"/>
      <c r="BB356" s="323"/>
      <c r="BC356" s="323"/>
      <c r="BD356" s="323"/>
      <c r="BE356" s="323"/>
      <c r="BF356" s="323"/>
      <c r="BG356" s="323"/>
      <c r="BH356" s="323"/>
      <c r="BI356" s="323"/>
      <c r="BJ356" s="323"/>
      <c r="BK356" s="323"/>
      <c r="BL356" s="323"/>
      <c r="BM356" s="323"/>
      <c r="BN356" s="323"/>
      <c r="BO356" s="323"/>
      <c r="BP356" s="323"/>
      <c r="BQ356" s="323"/>
      <c r="BR356" s="323"/>
      <c r="BS356" s="323"/>
      <c r="BT356" s="323"/>
      <c r="BU356" s="323"/>
      <c r="BV356" s="323"/>
      <c r="BW356" s="323"/>
      <c r="BX356" s="323"/>
      <c r="BY356" s="323"/>
      <c r="BZ356" s="323"/>
      <c r="CA356" s="323"/>
      <c r="CB356" s="323"/>
      <c r="CC356" s="323"/>
      <c r="CD356" s="323"/>
      <c r="CE356" s="323"/>
      <c r="CF356" s="323"/>
      <c r="CG356" s="323"/>
      <c r="CH356" s="323"/>
      <c r="CI356" s="323"/>
      <c r="CJ356" s="323"/>
      <c r="CK356" s="323"/>
      <c r="CL356" s="323"/>
      <c r="CM356" s="323"/>
      <c r="CN356" s="323"/>
      <c r="CO356" s="323"/>
      <c r="CP356" s="323"/>
      <c r="CQ356" s="323"/>
      <c r="CR356" s="323"/>
      <c r="CS356" s="323"/>
      <c r="CT356" s="323"/>
      <c r="CU356" s="323"/>
      <c r="CV356" s="323"/>
      <c r="CW356" s="323"/>
      <c r="CX356" s="323"/>
      <c r="CY356" s="323"/>
      <c r="CZ356" s="14"/>
      <c r="DA356" s="327" t="s">
        <v>206</v>
      </c>
      <c r="DB356" s="328"/>
      <c r="DC356" s="329">
        <f>SUM(DA330:DI355)</f>
        <v>65871.25</v>
      </c>
      <c r="DD356" s="329"/>
      <c r="DE356" s="329"/>
      <c r="DF356" s="329"/>
      <c r="DG356" s="329"/>
      <c r="DH356" s="329"/>
      <c r="DI356" s="329"/>
      <c r="DJ356" s="329"/>
      <c r="DK356" s="329"/>
      <c r="DL356" s="329"/>
      <c r="DM356" s="329"/>
      <c r="DN356" s="329"/>
      <c r="DO356" s="329"/>
      <c r="DP356" s="329"/>
      <c r="DQ356" s="329"/>
      <c r="DR356" s="329"/>
      <c r="DS356" s="329"/>
      <c r="DT356" s="330"/>
    </row>
    <row r="357" spans="1:124" ht="20.39999999999999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324" t="s">
        <v>83</v>
      </c>
      <c r="DK357" s="324"/>
      <c r="DL357" s="324"/>
      <c r="DM357" s="324"/>
      <c r="DN357" s="324"/>
      <c r="DO357" s="324"/>
      <c r="DP357" s="325" t="s">
        <v>400</v>
      </c>
      <c r="DQ357" s="326"/>
      <c r="DR357" s="326"/>
      <c r="DS357" s="326"/>
      <c r="DT357" s="1"/>
    </row>
    <row r="362" spans="1:124" ht="16.8">
      <c r="A362" s="232" t="s">
        <v>61</v>
      </c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</row>
    <row r="363" spans="1:124" ht="21">
      <c r="A363" s="233" t="s">
        <v>4</v>
      </c>
      <c r="B363" s="234"/>
      <c r="C363" s="234"/>
      <c r="D363" s="234"/>
      <c r="E363" s="234"/>
      <c r="F363" s="2"/>
      <c r="G363" s="235" t="s">
        <v>197</v>
      </c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  <c r="AA363" s="235"/>
      <c r="AB363" s="235"/>
      <c r="AC363" s="235"/>
      <c r="AD363" s="235"/>
      <c r="AE363" s="236"/>
      <c r="AF363" s="233" t="s">
        <v>5</v>
      </c>
      <c r="AG363" s="234"/>
      <c r="AH363" s="234"/>
      <c r="AI363" s="234"/>
      <c r="AJ363" s="234"/>
      <c r="AK363" s="234"/>
      <c r="AL363" s="2"/>
      <c r="AM363" s="235" t="s">
        <v>6</v>
      </c>
      <c r="AN363" s="235"/>
      <c r="AO363" s="235"/>
      <c r="AP363" s="235"/>
      <c r="AQ363" s="235"/>
      <c r="AR363" s="235"/>
      <c r="AS363" s="235"/>
      <c r="AT363" s="235"/>
      <c r="AU363" s="235"/>
      <c r="AV363" s="235"/>
      <c r="AW363" s="235"/>
      <c r="AX363" s="235"/>
      <c r="AY363" s="235"/>
      <c r="AZ363" s="235"/>
      <c r="BA363" s="235"/>
      <c r="BB363" s="235"/>
      <c r="BC363" s="235"/>
      <c r="BD363" s="235"/>
      <c r="BE363" s="235"/>
      <c r="BF363" s="235"/>
      <c r="BG363" s="236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233" t="s">
        <v>8</v>
      </c>
      <c r="BV363" s="234"/>
      <c r="BW363" s="234"/>
      <c r="BX363" s="234"/>
      <c r="BY363" s="234"/>
      <c r="BZ363" s="2"/>
      <c r="CA363" s="237">
        <v>1009</v>
      </c>
      <c r="CB363" s="235"/>
      <c r="CC363" s="235"/>
      <c r="CD363" s="235"/>
      <c r="CE363" s="235"/>
      <c r="CF363" s="235"/>
      <c r="CG363" s="235"/>
      <c r="CH363" s="235"/>
      <c r="CI363" s="236"/>
      <c r="CJ363" s="233" t="s">
        <v>9</v>
      </c>
      <c r="CK363" s="234"/>
      <c r="CL363" s="234"/>
      <c r="CM363" s="234"/>
      <c r="CN363" s="234"/>
      <c r="CO363" s="2"/>
      <c r="CP363" s="237" t="s">
        <v>214</v>
      </c>
      <c r="CQ363" s="235"/>
      <c r="CR363" s="235"/>
      <c r="CS363" s="235"/>
      <c r="CT363" s="235"/>
      <c r="CU363" s="235"/>
      <c r="CV363" s="235"/>
      <c r="CW363" s="235"/>
      <c r="CX363" s="236"/>
      <c r="CY363" s="1"/>
      <c r="CZ363" s="1"/>
      <c r="DA363" s="1"/>
      <c r="DB363" s="1"/>
      <c r="DC363" s="1"/>
      <c r="DD363" s="1"/>
      <c r="DE363" s="1"/>
      <c r="DF363" s="1"/>
      <c r="DG363" s="233" t="s">
        <v>62</v>
      </c>
      <c r="DH363" s="234"/>
      <c r="DI363" s="234"/>
      <c r="DJ363" s="234"/>
      <c r="DK363" s="234"/>
      <c r="DL363" s="2"/>
      <c r="DM363" s="235">
        <v>2024</v>
      </c>
      <c r="DN363" s="235"/>
      <c r="DO363" s="235"/>
      <c r="DP363" s="235"/>
      <c r="DQ363" s="235"/>
      <c r="DR363" s="235"/>
      <c r="DS363" s="235"/>
      <c r="DT363" s="236"/>
    </row>
    <row r="364" spans="1:124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</row>
    <row r="365" spans="1:124" ht="20.399999999999999">
      <c r="A365" s="238" t="s">
        <v>63</v>
      </c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  <c r="AA365" s="239"/>
      <c r="AB365" s="239"/>
      <c r="AC365" s="239"/>
      <c r="AD365" s="239"/>
      <c r="AE365" s="239"/>
      <c r="AF365" s="239"/>
      <c r="AG365" s="239"/>
      <c r="AH365" s="239"/>
      <c r="AI365" s="239"/>
      <c r="AJ365" s="239"/>
      <c r="AK365" s="239"/>
      <c r="AL365" s="239"/>
      <c r="AM365" s="239"/>
      <c r="AN365" s="239"/>
      <c r="AO365" s="239"/>
      <c r="AP365" s="239"/>
      <c r="AQ365" s="239"/>
      <c r="AR365" s="239"/>
      <c r="AS365" s="239"/>
      <c r="AT365" s="239"/>
      <c r="AU365" s="239"/>
      <c r="AV365" s="239"/>
      <c r="AW365" s="239"/>
      <c r="AX365" s="239"/>
      <c r="AY365" s="239"/>
      <c r="AZ365" s="239"/>
      <c r="BA365" s="239"/>
      <c r="BB365" s="239"/>
      <c r="BC365" s="239"/>
      <c r="BD365" s="239"/>
      <c r="BE365" s="239"/>
      <c r="BF365" s="239"/>
      <c r="BG365" s="239"/>
      <c r="BH365" s="239"/>
      <c r="BI365" s="239"/>
      <c r="BJ365" s="239"/>
      <c r="BK365" s="239"/>
      <c r="BL365" s="239"/>
      <c r="BM365" s="239"/>
      <c r="BN365" s="239"/>
      <c r="BO365" s="239"/>
      <c r="BP365" s="239"/>
      <c r="BQ365" s="239"/>
      <c r="BR365" s="239"/>
      <c r="BS365" s="239"/>
      <c r="BT365" s="239"/>
      <c r="BU365" s="239"/>
      <c r="BV365" s="239"/>
      <c r="BW365" s="239"/>
      <c r="BX365" s="239"/>
      <c r="BY365" s="239"/>
      <c r="BZ365" s="239"/>
      <c r="CA365" s="239"/>
      <c r="CB365" s="239"/>
      <c r="CC365" s="239"/>
      <c r="CD365" s="239"/>
      <c r="CE365" s="239"/>
      <c r="CF365" s="239"/>
      <c r="CG365" s="239"/>
      <c r="CH365" s="239"/>
      <c r="CI365" s="239"/>
      <c r="CJ365" s="239"/>
      <c r="CK365" s="239"/>
      <c r="CL365" s="239"/>
      <c r="CM365" s="239"/>
      <c r="CN365" s="239"/>
      <c r="CO365" s="239"/>
      <c r="CP365" s="239"/>
      <c r="CQ365" s="239"/>
      <c r="CR365" s="239"/>
      <c r="CS365" s="239"/>
      <c r="CT365" s="239"/>
      <c r="CU365" s="239"/>
      <c r="CV365" s="239"/>
      <c r="CW365" s="239"/>
      <c r="CX365" s="239"/>
      <c r="CY365" s="239"/>
      <c r="CZ365" s="239"/>
      <c r="DA365" s="239"/>
      <c r="DB365" s="239"/>
      <c r="DC365" s="239"/>
      <c r="DD365" s="239"/>
      <c r="DE365" s="239"/>
      <c r="DF365" s="239"/>
      <c r="DG365" s="239"/>
      <c r="DH365" s="239"/>
      <c r="DI365" s="239"/>
      <c r="DJ365" s="239"/>
      <c r="DK365" s="239"/>
      <c r="DL365" s="239"/>
      <c r="DM365" s="239"/>
      <c r="DN365" s="239"/>
      <c r="DO365" s="239"/>
      <c r="DP365" s="239"/>
      <c r="DQ365" s="239"/>
      <c r="DR365" s="239"/>
      <c r="DS365" s="239"/>
      <c r="DT365" s="240"/>
    </row>
    <row r="366" spans="1:124" ht="15" thickBot="1">
      <c r="A366" s="241" t="s">
        <v>64</v>
      </c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  <c r="AA366" s="242"/>
      <c r="AB366" s="242"/>
      <c r="AC366" s="242"/>
      <c r="AD366" s="242"/>
      <c r="AE366" s="242"/>
      <c r="AF366" s="242"/>
      <c r="AG366" s="242"/>
      <c r="AH366" s="242"/>
      <c r="AI366" s="242"/>
      <c r="AJ366" s="242"/>
      <c r="AK366" s="242"/>
      <c r="AL366" s="242"/>
      <c r="AM366" s="242"/>
      <c r="AN366" s="242"/>
      <c r="AO366" s="242"/>
      <c r="AP366" s="242"/>
      <c r="AQ366" s="242"/>
      <c r="AR366" s="242"/>
      <c r="AS366" s="242"/>
      <c r="AT366" s="242"/>
      <c r="AU366" s="242"/>
      <c r="AV366" s="242"/>
      <c r="AW366" s="242"/>
      <c r="AX366" s="242"/>
      <c r="AY366" s="242"/>
      <c r="AZ366" s="242"/>
      <c r="BA366" s="242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6"/>
    </row>
    <row r="367" spans="1:124" ht="15" thickBot="1"/>
    <row r="368" spans="1:124" ht="17.399999999999999">
      <c r="A368" s="243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4"/>
      <c r="M368" s="245"/>
      <c r="N368" s="246"/>
      <c r="O368" s="244"/>
      <c r="P368" s="244"/>
      <c r="Q368" s="244"/>
      <c r="R368" s="244"/>
      <c r="S368" s="244"/>
      <c r="T368" s="244"/>
      <c r="U368" s="245"/>
      <c r="V368" s="247" t="s">
        <v>65</v>
      </c>
      <c r="W368" s="248"/>
      <c r="X368" s="248"/>
      <c r="Y368" s="248"/>
      <c r="Z368" s="248"/>
      <c r="AA368" s="249"/>
      <c r="AB368" s="246"/>
      <c r="AC368" s="244"/>
      <c r="AD368" s="244"/>
      <c r="AE368" s="244"/>
      <c r="AF368" s="245"/>
      <c r="AG368" s="246"/>
      <c r="AH368" s="244"/>
      <c r="AI368" s="244"/>
      <c r="AJ368" s="244"/>
      <c r="AK368" s="244"/>
      <c r="AL368" s="244"/>
      <c r="AM368" s="244"/>
      <c r="AN368" s="244"/>
      <c r="AO368" s="244"/>
      <c r="AP368" s="244"/>
      <c r="AQ368" s="244"/>
      <c r="AR368" s="244"/>
      <c r="AS368" s="244"/>
      <c r="AT368" s="244"/>
      <c r="AU368" s="244"/>
      <c r="AV368" s="245"/>
      <c r="AW368" s="250" t="s">
        <v>66</v>
      </c>
      <c r="AX368" s="251"/>
      <c r="AY368" s="251"/>
      <c r="AZ368" s="251"/>
      <c r="BA368" s="251"/>
      <c r="BB368" s="251"/>
      <c r="BC368" s="251"/>
      <c r="BD368" s="251"/>
      <c r="BE368" s="251"/>
      <c r="BF368" s="251"/>
      <c r="BG368" s="251"/>
      <c r="BH368" s="251"/>
      <c r="BI368" s="251"/>
      <c r="BJ368" s="251"/>
      <c r="BK368" s="251"/>
      <c r="BL368" s="251"/>
      <c r="BM368" s="251"/>
      <c r="BN368" s="251"/>
      <c r="BO368" s="251"/>
      <c r="BP368" s="251"/>
      <c r="BQ368" s="251"/>
      <c r="BR368" s="251"/>
      <c r="BS368" s="251"/>
      <c r="BT368" s="251"/>
      <c r="BU368" s="251"/>
      <c r="BV368" s="251"/>
      <c r="BW368" s="251"/>
      <c r="BX368" s="251"/>
      <c r="BY368" s="251"/>
      <c r="BZ368" s="251"/>
      <c r="CA368" s="251"/>
      <c r="CB368" s="251"/>
      <c r="CC368" s="251"/>
      <c r="CD368" s="251"/>
      <c r="CE368" s="251"/>
      <c r="CF368" s="251"/>
      <c r="CG368" s="251"/>
      <c r="CH368" s="251"/>
      <c r="CI368" s="251"/>
      <c r="CJ368" s="251"/>
      <c r="CK368" s="251"/>
      <c r="CL368" s="251"/>
      <c r="CM368" s="251"/>
      <c r="CN368" s="251"/>
      <c r="CO368" s="251"/>
      <c r="CP368" s="251"/>
      <c r="CQ368" s="251"/>
      <c r="CR368" s="252"/>
      <c r="CS368" s="246"/>
      <c r="CT368" s="244"/>
      <c r="CU368" s="244"/>
      <c r="CV368" s="244"/>
      <c r="CW368" s="244"/>
      <c r="CX368" s="244"/>
      <c r="CY368" s="244"/>
      <c r="CZ368" s="245"/>
      <c r="DA368" s="246"/>
      <c r="DB368" s="244"/>
      <c r="DC368" s="244"/>
      <c r="DD368" s="244"/>
      <c r="DE368" s="244"/>
      <c r="DF368" s="244"/>
      <c r="DG368" s="244"/>
      <c r="DH368" s="244"/>
      <c r="DI368" s="245"/>
      <c r="DJ368" s="246"/>
      <c r="DK368" s="244"/>
      <c r="DL368" s="244"/>
      <c r="DM368" s="244"/>
      <c r="DN368" s="244"/>
      <c r="DO368" s="244"/>
      <c r="DP368" s="244"/>
      <c r="DQ368" s="244"/>
      <c r="DR368" s="244"/>
      <c r="DS368" s="244"/>
      <c r="DT368" s="253"/>
    </row>
    <row r="369" spans="1:124">
      <c r="A369" s="264" t="s">
        <v>67</v>
      </c>
      <c r="B369" s="257"/>
      <c r="C369" s="257"/>
      <c r="D369" s="257"/>
      <c r="E369" s="257"/>
      <c r="F369" s="257"/>
      <c r="G369" s="257"/>
      <c r="H369" s="257"/>
      <c r="I369" s="257"/>
      <c r="J369" s="257"/>
      <c r="K369" s="257"/>
      <c r="L369" s="257"/>
      <c r="M369" s="258"/>
      <c r="N369" s="256" t="s">
        <v>68</v>
      </c>
      <c r="O369" s="257"/>
      <c r="P369" s="257"/>
      <c r="Q369" s="257"/>
      <c r="R369" s="257"/>
      <c r="S369" s="257"/>
      <c r="T369" s="257"/>
      <c r="U369" s="258"/>
      <c r="V369" s="265" t="s">
        <v>69</v>
      </c>
      <c r="W369" s="266"/>
      <c r="X369" s="266"/>
      <c r="Y369" s="266"/>
      <c r="Z369" s="266"/>
      <c r="AA369" s="267"/>
      <c r="AB369" s="268" t="s">
        <v>70</v>
      </c>
      <c r="AC369" s="269"/>
      <c r="AD369" s="269"/>
      <c r="AE369" s="269"/>
      <c r="AF369" s="270"/>
      <c r="AG369" s="256" t="s">
        <v>71</v>
      </c>
      <c r="AH369" s="257"/>
      <c r="AI369" s="257"/>
      <c r="AJ369" s="257"/>
      <c r="AK369" s="257"/>
      <c r="AL369" s="257"/>
      <c r="AM369" s="257"/>
      <c r="AN369" s="257"/>
      <c r="AO369" s="257"/>
      <c r="AP369" s="257"/>
      <c r="AQ369" s="257"/>
      <c r="AR369" s="257"/>
      <c r="AS369" s="257"/>
      <c r="AT369" s="257"/>
      <c r="AU369" s="257"/>
      <c r="AV369" s="258"/>
      <c r="AW369" s="283" t="s">
        <v>72</v>
      </c>
      <c r="AX369" s="254"/>
      <c r="AY369" s="254"/>
      <c r="AZ369" s="254"/>
      <c r="BA369" s="254"/>
      <c r="BB369" s="254"/>
      <c r="BC369" s="254"/>
      <c r="BD369" s="254"/>
      <c r="BE369" s="254" t="s">
        <v>73</v>
      </c>
      <c r="BF369" s="254"/>
      <c r="BG369" s="254"/>
      <c r="BH369" s="254"/>
      <c r="BI369" s="254"/>
      <c r="BJ369" s="254"/>
      <c r="BK369" s="254"/>
      <c r="BL369" s="254"/>
      <c r="BM369" s="254" t="s">
        <v>74</v>
      </c>
      <c r="BN369" s="254"/>
      <c r="BO369" s="254"/>
      <c r="BP369" s="254"/>
      <c r="BQ369" s="254"/>
      <c r="BR369" s="254"/>
      <c r="BS369" s="254"/>
      <c r="BT369" s="254"/>
      <c r="BU369" s="254" t="s">
        <v>75</v>
      </c>
      <c r="BV369" s="254"/>
      <c r="BW369" s="254"/>
      <c r="BX369" s="254"/>
      <c r="BY369" s="254"/>
      <c r="BZ369" s="254"/>
      <c r="CA369" s="254"/>
      <c r="CB369" s="254"/>
      <c r="CC369" s="254" t="s">
        <v>76</v>
      </c>
      <c r="CD369" s="254"/>
      <c r="CE369" s="254"/>
      <c r="CF369" s="254"/>
      <c r="CG369" s="254"/>
      <c r="CH369" s="254"/>
      <c r="CI369" s="254"/>
      <c r="CJ369" s="254"/>
      <c r="CK369" s="254" t="s">
        <v>77</v>
      </c>
      <c r="CL369" s="254"/>
      <c r="CM369" s="254"/>
      <c r="CN369" s="254"/>
      <c r="CO369" s="254"/>
      <c r="CP369" s="254"/>
      <c r="CQ369" s="254"/>
      <c r="CR369" s="255"/>
      <c r="CS369" s="256" t="s">
        <v>78</v>
      </c>
      <c r="CT369" s="257"/>
      <c r="CU369" s="257"/>
      <c r="CV369" s="257"/>
      <c r="CW369" s="257"/>
      <c r="CX369" s="257"/>
      <c r="CY369" s="257"/>
      <c r="CZ369" s="258"/>
      <c r="DA369" s="256" t="s">
        <v>79</v>
      </c>
      <c r="DB369" s="257"/>
      <c r="DC369" s="257"/>
      <c r="DD369" s="257"/>
      <c r="DE369" s="257"/>
      <c r="DF369" s="257"/>
      <c r="DG369" s="257"/>
      <c r="DH369" s="257"/>
      <c r="DI369" s="258"/>
      <c r="DJ369" s="256" t="s">
        <v>80</v>
      </c>
      <c r="DK369" s="257"/>
      <c r="DL369" s="257"/>
      <c r="DM369" s="257"/>
      <c r="DN369" s="257"/>
      <c r="DO369" s="257"/>
      <c r="DP369" s="257"/>
      <c r="DQ369" s="257"/>
      <c r="DR369" s="257"/>
      <c r="DS369" s="257"/>
      <c r="DT369" s="259"/>
    </row>
    <row r="370" spans="1:124">
      <c r="A370" s="288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90"/>
      <c r="N370" s="260"/>
      <c r="O370" s="102"/>
      <c r="P370" s="102"/>
      <c r="Q370" s="102"/>
      <c r="R370" s="102"/>
      <c r="S370" s="102"/>
      <c r="T370" s="102"/>
      <c r="U370" s="103"/>
      <c r="V370" s="297"/>
      <c r="W370" s="102"/>
      <c r="X370" s="102"/>
      <c r="Y370" s="102"/>
      <c r="Z370" s="102"/>
      <c r="AA370" s="103"/>
      <c r="AB370" s="280"/>
      <c r="AC370" s="281"/>
      <c r="AD370" s="281"/>
      <c r="AE370" s="281"/>
      <c r="AF370" s="282"/>
      <c r="AG370" s="260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3"/>
      <c r="AW370" s="261"/>
      <c r="AX370" s="102"/>
      <c r="AY370" s="102"/>
      <c r="AZ370" s="102"/>
      <c r="BA370" s="102"/>
      <c r="BB370" s="102"/>
      <c r="BC370" s="102"/>
      <c r="BD370" s="103"/>
      <c r="BE370" s="261"/>
      <c r="BF370" s="102"/>
      <c r="BG370" s="102"/>
      <c r="BH370" s="102"/>
      <c r="BI370" s="102"/>
      <c r="BJ370" s="102"/>
      <c r="BK370" s="102"/>
      <c r="BL370" s="103"/>
      <c r="BM370" s="261"/>
      <c r="BN370" s="102"/>
      <c r="BO370" s="102"/>
      <c r="BP370" s="102"/>
      <c r="BQ370" s="102"/>
      <c r="BR370" s="102"/>
      <c r="BS370" s="102"/>
      <c r="BT370" s="103"/>
      <c r="BU370" s="260"/>
      <c r="BV370" s="102"/>
      <c r="BW370" s="102"/>
      <c r="BX370" s="102"/>
      <c r="BY370" s="102"/>
      <c r="BZ370" s="102"/>
      <c r="CA370" s="102"/>
      <c r="CB370" s="103"/>
      <c r="CC370" s="261"/>
      <c r="CD370" s="102"/>
      <c r="CE370" s="102"/>
      <c r="CF370" s="102"/>
      <c r="CG370" s="102"/>
      <c r="CH370" s="102"/>
      <c r="CI370" s="102"/>
      <c r="CJ370" s="103"/>
      <c r="CK370" s="337"/>
      <c r="CL370" s="338"/>
      <c r="CM370" s="338"/>
      <c r="CN370" s="338"/>
      <c r="CO370" s="338"/>
      <c r="CP370" s="338"/>
      <c r="CQ370" s="338"/>
      <c r="CR370" s="339"/>
      <c r="CS370" s="271"/>
      <c r="CT370" s="272"/>
      <c r="CU370" s="298"/>
      <c r="CV370" s="298"/>
      <c r="CW370" s="298"/>
      <c r="CX370" s="298"/>
      <c r="CY370" s="298"/>
      <c r="CZ370" s="299"/>
      <c r="DA370" s="274"/>
      <c r="DB370" s="275"/>
      <c r="DC370" s="275"/>
      <c r="DD370" s="275"/>
      <c r="DE370" s="275"/>
      <c r="DF370" s="275"/>
      <c r="DG370" s="275"/>
      <c r="DH370" s="275"/>
      <c r="DI370" s="276"/>
      <c r="DJ370" s="260"/>
      <c r="DK370" s="102"/>
      <c r="DL370" s="102"/>
      <c r="DM370" s="102"/>
      <c r="DN370" s="102"/>
      <c r="DO370" s="102"/>
      <c r="DP370" s="102"/>
      <c r="DQ370" s="102"/>
      <c r="DR370" s="102"/>
      <c r="DS370" s="102"/>
      <c r="DT370" s="340"/>
    </row>
    <row r="371" spans="1:124">
      <c r="A371" s="346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90"/>
      <c r="N371" s="307"/>
      <c r="O371" s="102"/>
      <c r="P371" s="102"/>
      <c r="Q371" s="102"/>
      <c r="R371" s="102"/>
      <c r="S371" s="102"/>
      <c r="T371" s="102"/>
      <c r="U371" s="103"/>
      <c r="V371" s="297"/>
      <c r="W371" s="102"/>
      <c r="X371" s="102"/>
      <c r="Y371" s="102"/>
      <c r="Z371" s="102"/>
      <c r="AA371" s="103"/>
      <c r="AB371" s="291"/>
      <c r="AC371" s="295"/>
      <c r="AD371" s="295"/>
      <c r="AE371" s="295"/>
      <c r="AF371" s="296"/>
      <c r="AG371" s="439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1"/>
      <c r="AW371" s="440" t="s">
        <v>809</v>
      </c>
      <c r="AX371" s="441"/>
      <c r="AY371" s="441"/>
      <c r="AZ371" s="441"/>
      <c r="BA371" s="441"/>
      <c r="BB371" s="441"/>
      <c r="BC371" s="441"/>
      <c r="BD371" s="441"/>
      <c r="BE371" s="441"/>
      <c r="BF371" s="441"/>
      <c r="BG371" s="441"/>
      <c r="BH371" s="441"/>
      <c r="BI371" s="441"/>
      <c r="BJ371" s="441"/>
      <c r="BK371" s="441"/>
      <c r="BL371" s="442"/>
      <c r="BM371" s="284"/>
      <c r="BN371" s="90"/>
      <c r="BO371" s="90"/>
      <c r="BP371" s="90"/>
      <c r="BQ371" s="90"/>
      <c r="BR371" s="90"/>
      <c r="BS371" s="90"/>
      <c r="BT371" s="91"/>
      <c r="BU371" s="262"/>
      <c r="BV371" s="90"/>
      <c r="BW371" s="90"/>
      <c r="BX371" s="90"/>
      <c r="BY371" s="90"/>
      <c r="BZ371" s="90"/>
      <c r="CA371" s="90"/>
      <c r="CB371" s="91"/>
      <c r="CC371" s="284"/>
      <c r="CD371" s="90"/>
      <c r="CE371" s="90"/>
      <c r="CF371" s="90"/>
      <c r="CG371" s="90"/>
      <c r="CH371" s="90"/>
      <c r="CI371" s="90"/>
      <c r="CJ371" s="91"/>
      <c r="CK371" s="284"/>
      <c r="CL371" s="90"/>
      <c r="CM371" s="90"/>
      <c r="CN371" s="90"/>
      <c r="CO371" s="90"/>
      <c r="CP371" s="90"/>
      <c r="CQ371" s="90"/>
      <c r="CR371" s="91"/>
      <c r="CS371" s="271"/>
      <c r="CT371" s="272"/>
      <c r="CU371" s="298"/>
      <c r="CV371" s="298"/>
      <c r="CW371" s="298"/>
      <c r="CX371" s="298"/>
      <c r="CY371" s="298"/>
      <c r="CZ371" s="299"/>
      <c r="DA371" s="274"/>
      <c r="DB371" s="275"/>
      <c r="DC371" s="275"/>
      <c r="DD371" s="275"/>
      <c r="DE371" s="275"/>
      <c r="DF371" s="275"/>
      <c r="DG371" s="275"/>
      <c r="DH371" s="275"/>
      <c r="DI371" s="276"/>
      <c r="DJ371" s="262"/>
      <c r="DK371" s="90"/>
      <c r="DL371" s="90"/>
      <c r="DM371" s="90"/>
      <c r="DN371" s="90"/>
      <c r="DO371" s="90"/>
      <c r="DP371" s="90"/>
      <c r="DQ371" s="90"/>
      <c r="DR371" s="90"/>
      <c r="DS371" s="90"/>
      <c r="DT371" s="263"/>
    </row>
    <row r="372" spans="1:124">
      <c r="A372" s="306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90"/>
      <c r="N372" s="307"/>
      <c r="O372" s="102"/>
      <c r="P372" s="102"/>
      <c r="Q372" s="102"/>
      <c r="R372" s="102"/>
      <c r="S372" s="102"/>
      <c r="T372" s="102"/>
      <c r="U372" s="103"/>
      <c r="V372" s="297"/>
      <c r="W372" s="102"/>
      <c r="X372" s="102"/>
      <c r="Y372" s="102"/>
      <c r="Z372" s="102"/>
      <c r="AA372" s="103"/>
      <c r="AB372" s="291"/>
      <c r="AC372" s="295"/>
      <c r="AD372" s="295"/>
      <c r="AE372" s="295"/>
      <c r="AF372" s="296"/>
      <c r="AG372" s="262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1"/>
      <c r="AW372" s="443"/>
      <c r="AX372" s="444"/>
      <c r="AY372" s="444"/>
      <c r="AZ372" s="444"/>
      <c r="BA372" s="444"/>
      <c r="BB372" s="444"/>
      <c r="BC372" s="444"/>
      <c r="BD372" s="444"/>
      <c r="BE372" s="444"/>
      <c r="BF372" s="444"/>
      <c r="BG372" s="444"/>
      <c r="BH372" s="444"/>
      <c r="BI372" s="444"/>
      <c r="BJ372" s="444"/>
      <c r="BK372" s="444"/>
      <c r="BL372" s="445"/>
      <c r="BM372" s="284"/>
      <c r="BN372" s="90"/>
      <c r="BO372" s="90"/>
      <c r="BP372" s="90"/>
      <c r="BQ372" s="90"/>
      <c r="BR372" s="90"/>
      <c r="BS372" s="90"/>
      <c r="BT372" s="91"/>
      <c r="BU372" s="284"/>
      <c r="BV372" s="90"/>
      <c r="BW372" s="90"/>
      <c r="BX372" s="90"/>
      <c r="BY372" s="90"/>
      <c r="BZ372" s="90"/>
      <c r="CA372" s="90"/>
      <c r="CB372" s="91"/>
      <c r="CC372" s="284"/>
      <c r="CD372" s="90"/>
      <c r="CE372" s="90"/>
      <c r="CF372" s="90"/>
      <c r="CG372" s="90"/>
      <c r="CH372" s="90"/>
      <c r="CI372" s="90"/>
      <c r="CJ372" s="91"/>
      <c r="CK372" s="284"/>
      <c r="CL372" s="90"/>
      <c r="CM372" s="90"/>
      <c r="CN372" s="90"/>
      <c r="CO372" s="90"/>
      <c r="CP372" s="90"/>
      <c r="CQ372" s="90"/>
      <c r="CR372" s="91"/>
      <c r="CS372" s="271"/>
      <c r="CT372" s="272"/>
      <c r="CU372" s="298"/>
      <c r="CV372" s="298"/>
      <c r="CW372" s="298"/>
      <c r="CX372" s="298"/>
      <c r="CY372" s="298"/>
      <c r="CZ372" s="299"/>
      <c r="DA372" s="274"/>
      <c r="DB372" s="275"/>
      <c r="DC372" s="275"/>
      <c r="DD372" s="275"/>
      <c r="DE372" s="275"/>
      <c r="DF372" s="275"/>
      <c r="DG372" s="275"/>
      <c r="DH372" s="275"/>
      <c r="DI372" s="276"/>
      <c r="DJ372" s="262"/>
      <c r="DK372" s="90"/>
      <c r="DL372" s="90"/>
      <c r="DM372" s="90"/>
      <c r="DN372" s="90"/>
      <c r="DO372" s="90"/>
      <c r="DP372" s="90"/>
      <c r="DQ372" s="90"/>
      <c r="DR372" s="90"/>
      <c r="DS372" s="90"/>
      <c r="DT372" s="263"/>
    </row>
    <row r="373" spans="1:124">
      <c r="A373" s="308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307"/>
      <c r="O373" s="102"/>
      <c r="P373" s="102"/>
      <c r="Q373" s="102"/>
      <c r="R373" s="102"/>
      <c r="S373" s="102"/>
      <c r="T373" s="102"/>
      <c r="U373" s="103"/>
      <c r="V373" s="311"/>
      <c r="W373" s="347"/>
      <c r="X373" s="347"/>
      <c r="Y373" s="347"/>
      <c r="Z373" s="347"/>
      <c r="AA373" s="348"/>
      <c r="AB373" s="312"/>
      <c r="AC373" s="313"/>
      <c r="AD373" s="313"/>
      <c r="AE373" s="313"/>
      <c r="AF373" s="313"/>
      <c r="AG373" s="285" t="s">
        <v>859</v>
      </c>
      <c r="AH373" s="286"/>
      <c r="AI373" s="286"/>
      <c r="AJ373" s="286"/>
      <c r="AK373" s="286"/>
      <c r="AL373" s="286"/>
      <c r="AM373" s="286"/>
      <c r="AN373" s="286"/>
      <c r="AO373" s="286"/>
      <c r="AP373" s="286"/>
      <c r="AQ373" s="286"/>
      <c r="AR373" s="286"/>
      <c r="AS373" s="286"/>
      <c r="AT373" s="286"/>
      <c r="AU373" s="286"/>
      <c r="AV373" s="286"/>
      <c r="AW373" s="285"/>
      <c r="AX373" s="286"/>
      <c r="AY373" s="286"/>
      <c r="AZ373" s="286"/>
      <c r="BA373" s="286"/>
      <c r="BB373" s="286"/>
      <c r="BC373" s="286"/>
      <c r="BD373" s="286"/>
      <c r="BE373" s="285"/>
      <c r="BF373" s="286"/>
      <c r="BG373" s="286"/>
      <c r="BH373" s="286"/>
      <c r="BI373" s="286"/>
      <c r="BJ373" s="286"/>
      <c r="BK373" s="286"/>
      <c r="BL373" s="286"/>
      <c r="BM373" s="446">
        <f>+DC36</f>
        <v>465135</v>
      </c>
      <c r="BN373" s="286"/>
      <c r="BO373" s="286"/>
      <c r="BP373" s="286"/>
      <c r="BQ373" s="286"/>
      <c r="BR373" s="286"/>
      <c r="BS373" s="286"/>
      <c r="BT373" s="286"/>
      <c r="BU373" s="285"/>
      <c r="BV373" s="286"/>
      <c r="BW373" s="286"/>
      <c r="BX373" s="286"/>
      <c r="BY373" s="286"/>
      <c r="BZ373" s="286"/>
      <c r="CA373" s="286"/>
      <c r="CB373" s="286"/>
      <c r="CC373" s="286"/>
      <c r="CD373" s="286"/>
      <c r="CE373" s="286"/>
      <c r="CF373" s="286"/>
      <c r="CG373" s="286"/>
      <c r="CH373" s="286"/>
      <c r="CI373" s="286"/>
      <c r="CJ373" s="286"/>
      <c r="CK373" s="341"/>
      <c r="CL373" s="342"/>
      <c r="CM373" s="342"/>
      <c r="CN373" s="342"/>
      <c r="CO373" s="342"/>
      <c r="CP373" s="342"/>
      <c r="CQ373" s="342"/>
      <c r="CR373" s="343"/>
      <c r="CS373" s="271"/>
      <c r="CT373" s="272"/>
      <c r="CU373" s="298"/>
      <c r="CV373" s="298"/>
      <c r="CW373" s="298"/>
      <c r="CX373" s="298"/>
      <c r="CY373" s="298"/>
      <c r="CZ373" s="299"/>
      <c r="DA373" s="274"/>
      <c r="DB373" s="275"/>
      <c r="DC373" s="275"/>
      <c r="DD373" s="275"/>
      <c r="DE373" s="275"/>
      <c r="DF373" s="275"/>
      <c r="DG373" s="275"/>
      <c r="DH373" s="275"/>
      <c r="DI373" s="276"/>
      <c r="DJ373" s="285"/>
      <c r="DK373" s="286"/>
      <c r="DL373" s="286"/>
      <c r="DM373" s="286"/>
      <c r="DN373" s="286"/>
      <c r="DO373" s="286"/>
      <c r="DP373" s="286"/>
      <c r="DQ373" s="286"/>
      <c r="DR373" s="286"/>
      <c r="DS373" s="286"/>
      <c r="DT373" s="287"/>
    </row>
    <row r="374" spans="1:124">
      <c r="A374" s="304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307"/>
      <c r="O374" s="102"/>
      <c r="P374" s="102"/>
      <c r="Q374" s="102"/>
      <c r="R374" s="102"/>
      <c r="S374" s="102"/>
      <c r="T374" s="102"/>
      <c r="U374" s="103"/>
      <c r="V374" s="311"/>
      <c r="W374" s="347"/>
      <c r="X374" s="347"/>
      <c r="Y374" s="347"/>
      <c r="Z374" s="347"/>
      <c r="AA374" s="348"/>
      <c r="AB374" s="312"/>
      <c r="AC374" s="313"/>
      <c r="AD374" s="313"/>
      <c r="AE374" s="313"/>
      <c r="AF374" s="313"/>
      <c r="AG374" s="285" t="s">
        <v>810</v>
      </c>
      <c r="AH374" s="286"/>
      <c r="AI374" s="286"/>
      <c r="AJ374" s="286"/>
      <c r="AK374" s="286"/>
      <c r="AL374" s="286"/>
      <c r="AM374" s="286"/>
      <c r="AN374" s="286"/>
      <c r="AO374" s="286"/>
      <c r="AP374" s="286"/>
      <c r="AQ374" s="286"/>
      <c r="AR374" s="286"/>
      <c r="AS374" s="286"/>
      <c r="AT374" s="286"/>
      <c r="AU374" s="286"/>
      <c r="AV374" s="286"/>
      <c r="AW374" s="285"/>
      <c r="AX374" s="286"/>
      <c r="AY374" s="286"/>
      <c r="AZ374" s="286"/>
      <c r="BA374" s="286"/>
      <c r="BB374" s="286"/>
      <c r="BC374" s="286"/>
      <c r="BD374" s="286"/>
      <c r="BE374" s="286"/>
      <c r="BF374" s="286"/>
      <c r="BG374" s="286"/>
      <c r="BH374" s="286"/>
      <c r="BI374" s="286"/>
      <c r="BJ374" s="286"/>
      <c r="BK374" s="286"/>
      <c r="BL374" s="286"/>
      <c r="BM374" s="446">
        <f>+DC76</f>
        <v>388495</v>
      </c>
      <c r="BN374" s="286"/>
      <c r="BO374" s="286"/>
      <c r="BP374" s="286"/>
      <c r="BQ374" s="286"/>
      <c r="BR374" s="286"/>
      <c r="BS374" s="286"/>
      <c r="BT374" s="286"/>
      <c r="BU374" s="286"/>
      <c r="BV374" s="286"/>
      <c r="BW374" s="286"/>
      <c r="BX374" s="286"/>
      <c r="BY374" s="286"/>
      <c r="BZ374" s="286"/>
      <c r="CA374" s="286"/>
      <c r="CB374" s="286"/>
      <c r="CC374" s="285"/>
      <c r="CD374" s="286"/>
      <c r="CE374" s="286"/>
      <c r="CF374" s="286"/>
      <c r="CG374" s="286"/>
      <c r="CH374" s="286"/>
      <c r="CI374" s="286"/>
      <c r="CJ374" s="286"/>
      <c r="CK374" s="341"/>
      <c r="CL374" s="342"/>
      <c r="CM374" s="342"/>
      <c r="CN374" s="342"/>
      <c r="CO374" s="342"/>
      <c r="CP374" s="342"/>
      <c r="CQ374" s="342"/>
      <c r="CR374" s="343"/>
      <c r="CS374" s="271"/>
      <c r="CT374" s="272"/>
      <c r="CU374" s="298"/>
      <c r="CV374" s="298"/>
      <c r="CW374" s="298"/>
      <c r="CX374" s="298"/>
      <c r="CY374" s="298"/>
      <c r="CZ374" s="299"/>
      <c r="DA374" s="274"/>
      <c r="DB374" s="275"/>
      <c r="DC374" s="275"/>
      <c r="DD374" s="275"/>
      <c r="DE374" s="275"/>
      <c r="DF374" s="275"/>
      <c r="DG374" s="275"/>
      <c r="DH374" s="275"/>
      <c r="DI374" s="276"/>
      <c r="DJ374" s="285"/>
      <c r="DK374" s="286"/>
      <c r="DL374" s="286"/>
      <c r="DM374" s="286"/>
      <c r="DN374" s="286"/>
      <c r="DO374" s="286"/>
      <c r="DP374" s="286"/>
      <c r="DQ374" s="286"/>
      <c r="DR374" s="286"/>
      <c r="DS374" s="286"/>
      <c r="DT374" s="287"/>
    </row>
    <row r="375" spans="1:124">
      <c r="A375" s="304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307"/>
      <c r="O375" s="102"/>
      <c r="P375" s="102"/>
      <c r="Q375" s="102"/>
      <c r="R375" s="102"/>
      <c r="S375" s="102"/>
      <c r="T375" s="102"/>
      <c r="U375" s="103"/>
      <c r="V375" s="311"/>
      <c r="W375" s="347"/>
      <c r="X375" s="347"/>
      <c r="Y375" s="347"/>
      <c r="Z375" s="347"/>
      <c r="AA375" s="348"/>
      <c r="AB375" s="291"/>
      <c r="AC375" s="295"/>
      <c r="AD375" s="295"/>
      <c r="AE375" s="295"/>
      <c r="AF375" s="296"/>
      <c r="AG375" s="262" t="s">
        <v>811</v>
      </c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1"/>
      <c r="AW375" s="262"/>
      <c r="AX375" s="90"/>
      <c r="AY375" s="90"/>
      <c r="AZ375" s="90"/>
      <c r="BA375" s="90"/>
      <c r="BB375" s="90"/>
      <c r="BC375" s="90"/>
      <c r="BD375" s="91"/>
      <c r="BE375" s="284"/>
      <c r="BF375" s="90"/>
      <c r="BG375" s="90"/>
      <c r="BH375" s="90"/>
      <c r="BI375" s="90"/>
      <c r="BJ375" s="90"/>
      <c r="BK375" s="90"/>
      <c r="BL375" s="91"/>
      <c r="BM375" s="448">
        <f>+DC116</f>
        <v>72507.303</v>
      </c>
      <c r="BN375" s="90"/>
      <c r="BO375" s="90"/>
      <c r="BP375" s="90"/>
      <c r="BQ375" s="90"/>
      <c r="BR375" s="90"/>
      <c r="BS375" s="90"/>
      <c r="BT375" s="91"/>
      <c r="BU375" s="284"/>
      <c r="BV375" s="90"/>
      <c r="BW375" s="90"/>
      <c r="BX375" s="90"/>
      <c r="BY375" s="90"/>
      <c r="BZ375" s="90"/>
      <c r="CA375" s="90"/>
      <c r="CB375" s="91"/>
      <c r="CC375" s="262"/>
      <c r="CD375" s="90"/>
      <c r="CE375" s="90"/>
      <c r="CF375" s="90"/>
      <c r="CG375" s="90"/>
      <c r="CH375" s="90"/>
      <c r="CI375" s="90"/>
      <c r="CJ375" s="91"/>
      <c r="CK375" s="341"/>
      <c r="CL375" s="342"/>
      <c r="CM375" s="342"/>
      <c r="CN375" s="342"/>
      <c r="CO375" s="342"/>
      <c r="CP375" s="342"/>
      <c r="CQ375" s="342"/>
      <c r="CR375" s="343"/>
      <c r="CS375" s="271"/>
      <c r="CT375" s="272"/>
      <c r="CU375" s="298"/>
      <c r="CV375" s="298"/>
      <c r="CW375" s="298"/>
      <c r="CX375" s="298"/>
      <c r="CY375" s="298"/>
      <c r="CZ375" s="299"/>
      <c r="DA375" s="274"/>
      <c r="DB375" s="275"/>
      <c r="DC375" s="275"/>
      <c r="DD375" s="275"/>
      <c r="DE375" s="275"/>
      <c r="DF375" s="275"/>
      <c r="DG375" s="275"/>
      <c r="DH375" s="275"/>
      <c r="DI375" s="276"/>
      <c r="DJ375" s="262"/>
      <c r="DK375" s="90"/>
      <c r="DL375" s="90"/>
      <c r="DM375" s="90"/>
      <c r="DN375" s="90"/>
      <c r="DO375" s="90"/>
      <c r="DP375" s="90"/>
      <c r="DQ375" s="90"/>
      <c r="DR375" s="90"/>
      <c r="DS375" s="90"/>
      <c r="DT375" s="263"/>
    </row>
    <row r="376" spans="1:124">
      <c r="A376" s="306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90"/>
      <c r="N376" s="307"/>
      <c r="O376" s="102"/>
      <c r="P376" s="102"/>
      <c r="Q376" s="102"/>
      <c r="R376" s="102"/>
      <c r="S376" s="102"/>
      <c r="T376" s="102"/>
      <c r="U376" s="103"/>
      <c r="V376" s="261"/>
      <c r="W376" s="102"/>
      <c r="X376" s="102"/>
      <c r="Y376" s="102"/>
      <c r="Z376" s="102"/>
      <c r="AA376" s="103"/>
      <c r="AB376" s="291"/>
      <c r="AC376" s="295"/>
      <c r="AD376" s="295"/>
      <c r="AE376" s="295"/>
      <c r="AF376" s="296"/>
      <c r="AG376" s="262" t="s">
        <v>812</v>
      </c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1"/>
      <c r="AW376" s="284"/>
      <c r="AX376" s="90"/>
      <c r="AY376" s="90"/>
      <c r="AZ376" s="90"/>
      <c r="BA376" s="90"/>
      <c r="BB376" s="90"/>
      <c r="BC376" s="90"/>
      <c r="BD376" s="91"/>
      <c r="BE376" s="284"/>
      <c r="BF376" s="90"/>
      <c r="BG376" s="90"/>
      <c r="BH376" s="90"/>
      <c r="BI376" s="90"/>
      <c r="BJ376" s="90"/>
      <c r="BK376" s="90"/>
      <c r="BL376" s="91"/>
      <c r="BM376" s="447">
        <f>+DC156</f>
        <v>251682.99</v>
      </c>
      <c r="BN376" s="90"/>
      <c r="BO376" s="90"/>
      <c r="BP376" s="90"/>
      <c r="BQ376" s="90"/>
      <c r="BR376" s="90"/>
      <c r="BS376" s="90"/>
      <c r="BT376" s="91"/>
      <c r="BU376" s="262"/>
      <c r="BV376" s="90"/>
      <c r="BW376" s="90"/>
      <c r="BX376" s="90"/>
      <c r="BY376" s="90"/>
      <c r="BZ376" s="90"/>
      <c r="CA376" s="90"/>
      <c r="CB376" s="91"/>
      <c r="CC376" s="262"/>
      <c r="CD376" s="90"/>
      <c r="CE376" s="90"/>
      <c r="CF376" s="90"/>
      <c r="CG376" s="90"/>
      <c r="CH376" s="90"/>
      <c r="CI376" s="90"/>
      <c r="CJ376" s="91"/>
      <c r="CK376" s="284"/>
      <c r="CL376" s="90"/>
      <c r="CM376" s="90"/>
      <c r="CN376" s="90"/>
      <c r="CO376" s="90"/>
      <c r="CP376" s="90"/>
      <c r="CQ376" s="90"/>
      <c r="CR376" s="91"/>
      <c r="CS376" s="271"/>
      <c r="CT376" s="272"/>
      <c r="CU376" s="298"/>
      <c r="CV376" s="298"/>
      <c r="CW376" s="298"/>
      <c r="CX376" s="298"/>
      <c r="CY376" s="298"/>
      <c r="CZ376" s="299"/>
      <c r="DA376" s="274"/>
      <c r="DB376" s="275"/>
      <c r="DC376" s="275"/>
      <c r="DD376" s="275"/>
      <c r="DE376" s="275"/>
      <c r="DF376" s="275"/>
      <c r="DG376" s="275"/>
      <c r="DH376" s="275"/>
      <c r="DI376" s="276"/>
      <c r="DJ376" s="262"/>
      <c r="DK376" s="90"/>
      <c r="DL376" s="90"/>
      <c r="DM376" s="90"/>
      <c r="DN376" s="90"/>
      <c r="DO376" s="90"/>
      <c r="DP376" s="90"/>
      <c r="DQ376" s="90"/>
      <c r="DR376" s="90"/>
      <c r="DS376" s="90"/>
      <c r="DT376" s="263"/>
    </row>
    <row r="377" spans="1:124">
      <c r="A377" s="346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90"/>
      <c r="N377" s="309"/>
      <c r="O377" s="90"/>
      <c r="P377" s="90"/>
      <c r="Q377" s="90"/>
      <c r="R377" s="90"/>
      <c r="S377" s="90"/>
      <c r="T377" s="90"/>
      <c r="U377" s="91"/>
      <c r="V377" s="261"/>
      <c r="W377" s="102"/>
      <c r="X377" s="102"/>
      <c r="Y377" s="102"/>
      <c r="Z377" s="102"/>
      <c r="AA377" s="103"/>
      <c r="AB377" s="291"/>
      <c r="AC377" s="295"/>
      <c r="AD377" s="295"/>
      <c r="AE377" s="295"/>
      <c r="AF377" s="296"/>
      <c r="AG377" s="262" t="s">
        <v>813</v>
      </c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1"/>
      <c r="AW377" s="262"/>
      <c r="AX377" s="90"/>
      <c r="AY377" s="90"/>
      <c r="AZ377" s="90"/>
      <c r="BA377" s="90"/>
      <c r="BB377" s="90"/>
      <c r="BC377" s="90"/>
      <c r="BD377" s="91"/>
      <c r="BE377" s="284"/>
      <c r="BF377" s="90"/>
      <c r="BG377" s="90"/>
      <c r="BH377" s="90"/>
      <c r="BI377" s="90"/>
      <c r="BJ377" s="90"/>
      <c r="BK377" s="90"/>
      <c r="BL377" s="91"/>
      <c r="BM377" s="447">
        <f>+DC196</f>
        <v>123436.3</v>
      </c>
      <c r="BN377" s="90"/>
      <c r="BO377" s="90"/>
      <c r="BP377" s="90"/>
      <c r="BQ377" s="90"/>
      <c r="BR377" s="90"/>
      <c r="BS377" s="90"/>
      <c r="BT377" s="91"/>
      <c r="BU377" s="262"/>
      <c r="BV377" s="90"/>
      <c r="BW377" s="90"/>
      <c r="BX377" s="90"/>
      <c r="BY377" s="90"/>
      <c r="BZ377" s="90"/>
      <c r="CA377" s="90"/>
      <c r="CB377" s="91"/>
      <c r="CC377" s="284"/>
      <c r="CD377" s="90"/>
      <c r="CE377" s="90"/>
      <c r="CF377" s="90"/>
      <c r="CG377" s="90"/>
      <c r="CH377" s="90"/>
      <c r="CI377" s="90"/>
      <c r="CJ377" s="91"/>
      <c r="CK377" s="262"/>
      <c r="CL377" s="90"/>
      <c r="CM377" s="90"/>
      <c r="CN377" s="90"/>
      <c r="CO377" s="90"/>
      <c r="CP377" s="90"/>
      <c r="CQ377" s="90"/>
      <c r="CR377" s="91"/>
      <c r="CS377" s="271"/>
      <c r="CT377" s="272"/>
      <c r="CU377" s="298"/>
      <c r="CV377" s="298"/>
      <c r="CW377" s="298"/>
      <c r="CX377" s="298"/>
      <c r="CY377" s="298"/>
      <c r="CZ377" s="299"/>
      <c r="DA377" s="274"/>
      <c r="DB377" s="275"/>
      <c r="DC377" s="275"/>
      <c r="DD377" s="275"/>
      <c r="DE377" s="275"/>
      <c r="DF377" s="275"/>
      <c r="DG377" s="275"/>
      <c r="DH377" s="275"/>
      <c r="DI377" s="276"/>
      <c r="DJ377" s="262"/>
      <c r="DK377" s="90"/>
      <c r="DL377" s="90"/>
      <c r="DM377" s="90"/>
      <c r="DN377" s="90"/>
      <c r="DO377" s="90"/>
      <c r="DP377" s="90"/>
      <c r="DQ377" s="90"/>
      <c r="DR377" s="90"/>
      <c r="DS377" s="90"/>
      <c r="DT377" s="263"/>
    </row>
    <row r="378" spans="1:124">
      <c r="A378" s="288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90"/>
      <c r="N378" s="309"/>
      <c r="O378" s="90"/>
      <c r="P378" s="90"/>
      <c r="Q378" s="90"/>
      <c r="R378" s="90"/>
      <c r="S378" s="90"/>
      <c r="T378" s="90"/>
      <c r="U378" s="91"/>
      <c r="V378" s="261"/>
      <c r="W378" s="102"/>
      <c r="X378" s="102"/>
      <c r="Y378" s="102"/>
      <c r="Z378" s="102"/>
      <c r="AA378" s="103"/>
      <c r="AB378" s="291"/>
      <c r="AC378" s="295"/>
      <c r="AD378" s="295"/>
      <c r="AE378" s="295"/>
      <c r="AF378" s="296"/>
      <c r="AG378" s="362" t="s">
        <v>814</v>
      </c>
      <c r="AH378" s="302"/>
      <c r="AI378" s="302"/>
      <c r="AJ378" s="302"/>
      <c r="AK378" s="302"/>
      <c r="AL378" s="302"/>
      <c r="AM378" s="302"/>
      <c r="AN378" s="302"/>
      <c r="AO378" s="302"/>
      <c r="AP378" s="302"/>
      <c r="AQ378" s="302"/>
      <c r="AR378" s="302"/>
      <c r="AS378" s="302"/>
      <c r="AT378" s="302"/>
      <c r="AU378" s="302"/>
      <c r="AV378" s="303"/>
      <c r="AW378" s="284"/>
      <c r="AX378" s="90"/>
      <c r="AY378" s="90"/>
      <c r="AZ378" s="90"/>
      <c r="BA378" s="90"/>
      <c r="BB378" s="90"/>
      <c r="BC378" s="90"/>
      <c r="BD378" s="91"/>
      <c r="BE378" s="284"/>
      <c r="BF378" s="90"/>
      <c r="BG378" s="90"/>
      <c r="BH378" s="90"/>
      <c r="BI378" s="90"/>
      <c r="BJ378" s="90"/>
      <c r="BK378" s="90"/>
      <c r="BL378" s="91"/>
      <c r="BM378" s="447">
        <f>+DC236</f>
        <v>60478.5</v>
      </c>
      <c r="BN378" s="90"/>
      <c r="BO378" s="90"/>
      <c r="BP378" s="90"/>
      <c r="BQ378" s="90"/>
      <c r="BR378" s="90"/>
      <c r="BS378" s="90"/>
      <c r="BT378" s="91"/>
      <c r="BU378" s="262"/>
      <c r="BV378" s="90"/>
      <c r="BW378" s="90"/>
      <c r="BX378" s="90"/>
      <c r="BY378" s="90"/>
      <c r="BZ378" s="90"/>
      <c r="CA378" s="90"/>
      <c r="CB378" s="91"/>
      <c r="CC378" s="284"/>
      <c r="CD378" s="90"/>
      <c r="CE378" s="90"/>
      <c r="CF378" s="90"/>
      <c r="CG378" s="90"/>
      <c r="CH378" s="90"/>
      <c r="CI378" s="90"/>
      <c r="CJ378" s="91"/>
      <c r="CK378" s="284"/>
      <c r="CL378" s="90"/>
      <c r="CM378" s="90"/>
      <c r="CN378" s="90"/>
      <c r="CO378" s="90"/>
      <c r="CP378" s="90"/>
      <c r="CQ378" s="90"/>
      <c r="CR378" s="91"/>
      <c r="CS378" s="271"/>
      <c r="CT378" s="272"/>
      <c r="CU378" s="298"/>
      <c r="CV378" s="298"/>
      <c r="CW378" s="298"/>
      <c r="CX378" s="298"/>
      <c r="CY378" s="298"/>
      <c r="CZ378" s="299"/>
      <c r="DA378" s="274"/>
      <c r="DB378" s="275"/>
      <c r="DC378" s="275"/>
      <c r="DD378" s="275"/>
      <c r="DE378" s="275"/>
      <c r="DF378" s="275"/>
      <c r="DG378" s="275"/>
      <c r="DH378" s="275"/>
      <c r="DI378" s="276"/>
      <c r="DJ378" s="262"/>
      <c r="DK378" s="90"/>
      <c r="DL378" s="90"/>
      <c r="DM378" s="90"/>
      <c r="DN378" s="90"/>
      <c r="DO378" s="90"/>
      <c r="DP378" s="90"/>
      <c r="DQ378" s="90"/>
      <c r="DR378" s="90"/>
      <c r="DS378" s="90"/>
      <c r="DT378" s="263"/>
    </row>
    <row r="379" spans="1:124">
      <c r="A379" s="288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90"/>
      <c r="N379" s="309"/>
      <c r="O379" s="90"/>
      <c r="P379" s="90"/>
      <c r="Q379" s="90"/>
      <c r="R379" s="90"/>
      <c r="S379" s="90"/>
      <c r="T379" s="90"/>
      <c r="U379" s="91"/>
      <c r="V379" s="316"/>
      <c r="W379" s="102"/>
      <c r="X379" s="102"/>
      <c r="Y379" s="102"/>
      <c r="Z379" s="102"/>
      <c r="AA379" s="103"/>
      <c r="AB379" s="291"/>
      <c r="AC379" s="295"/>
      <c r="AD379" s="295"/>
      <c r="AE379" s="295"/>
      <c r="AF379" s="296"/>
      <c r="AG379" s="262" t="s">
        <v>815</v>
      </c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1"/>
      <c r="AW379" s="286"/>
      <c r="AX379" s="286"/>
      <c r="AY379" s="286"/>
      <c r="AZ379" s="286"/>
      <c r="BA379" s="286"/>
      <c r="BB379" s="286"/>
      <c r="BC379" s="286"/>
      <c r="BD379" s="286"/>
      <c r="BE379" s="286"/>
      <c r="BF379" s="286"/>
      <c r="BG379" s="286"/>
      <c r="BH379" s="286"/>
      <c r="BI379" s="286"/>
      <c r="BJ379" s="286"/>
      <c r="BK379" s="286"/>
      <c r="BL379" s="286"/>
      <c r="BM379" s="449">
        <f>+DC276</f>
        <v>72344.100000000006</v>
      </c>
      <c r="BN379" s="286"/>
      <c r="BO379" s="286"/>
      <c r="BP379" s="286"/>
      <c r="BQ379" s="286"/>
      <c r="BR379" s="286"/>
      <c r="BS379" s="286"/>
      <c r="BT379" s="286"/>
      <c r="BU379" s="285"/>
      <c r="BV379" s="286"/>
      <c r="BW379" s="286"/>
      <c r="BX379" s="286"/>
      <c r="BY379" s="286"/>
      <c r="BZ379" s="286"/>
      <c r="CA379" s="286"/>
      <c r="CB379" s="286"/>
      <c r="CC379" s="286"/>
      <c r="CD379" s="286"/>
      <c r="CE379" s="286"/>
      <c r="CF379" s="286"/>
      <c r="CG379" s="286"/>
      <c r="CH379" s="286"/>
      <c r="CI379" s="286"/>
      <c r="CJ379" s="286"/>
      <c r="CK379" s="286"/>
      <c r="CL379" s="286"/>
      <c r="CM379" s="286"/>
      <c r="CN379" s="286"/>
      <c r="CO379" s="286"/>
      <c r="CP379" s="286"/>
      <c r="CQ379" s="286"/>
      <c r="CR379" s="286"/>
      <c r="CS379" s="271"/>
      <c r="CT379" s="272"/>
      <c r="CU379" s="298"/>
      <c r="CV379" s="298"/>
      <c r="CW379" s="298"/>
      <c r="CX379" s="298"/>
      <c r="CY379" s="298"/>
      <c r="CZ379" s="299"/>
      <c r="DA379" s="274"/>
      <c r="DB379" s="275"/>
      <c r="DC379" s="275"/>
      <c r="DD379" s="275"/>
      <c r="DE379" s="275"/>
      <c r="DF379" s="275"/>
      <c r="DG379" s="275"/>
      <c r="DH379" s="275"/>
      <c r="DI379" s="276"/>
      <c r="DJ379" s="262"/>
      <c r="DK379" s="90"/>
      <c r="DL379" s="90"/>
      <c r="DM379" s="90"/>
      <c r="DN379" s="90"/>
      <c r="DO379" s="90"/>
      <c r="DP379" s="90"/>
      <c r="DQ379" s="90"/>
      <c r="DR379" s="90"/>
      <c r="DS379" s="90"/>
      <c r="DT379" s="263"/>
    </row>
    <row r="380" spans="1:124">
      <c r="A380" s="288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90"/>
      <c r="N380" s="262"/>
      <c r="O380" s="90"/>
      <c r="P380" s="90"/>
      <c r="Q380" s="90"/>
      <c r="R380" s="90"/>
      <c r="S380" s="90"/>
      <c r="T380" s="90"/>
      <c r="U380" s="91"/>
      <c r="V380" s="261"/>
      <c r="W380" s="102"/>
      <c r="X380" s="102"/>
      <c r="Y380" s="102"/>
      <c r="Z380" s="102"/>
      <c r="AA380" s="103"/>
      <c r="AB380" s="291"/>
      <c r="AC380" s="295"/>
      <c r="AD380" s="295"/>
      <c r="AE380" s="295"/>
      <c r="AF380" s="296"/>
      <c r="AG380" s="262" t="s">
        <v>816</v>
      </c>
      <c r="AH380" s="314"/>
      <c r="AI380" s="314"/>
      <c r="AJ380" s="314"/>
      <c r="AK380" s="314"/>
      <c r="AL380" s="314"/>
      <c r="AM380" s="314"/>
      <c r="AN380" s="314"/>
      <c r="AO380" s="314"/>
      <c r="AP380" s="314"/>
      <c r="AQ380" s="314"/>
      <c r="AR380" s="314"/>
      <c r="AS380" s="314"/>
      <c r="AT380" s="314"/>
      <c r="AU380" s="314"/>
      <c r="AV380" s="366"/>
      <c r="AW380" s="284"/>
      <c r="AX380" s="90"/>
      <c r="AY380" s="90"/>
      <c r="AZ380" s="90"/>
      <c r="BA380" s="90"/>
      <c r="BB380" s="90"/>
      <c r="BC380" s="90"/>
      <c r="BD380" s="91"/>
      <c r="BE380" s="284"/>
      <c r="BF380" s="90"/>
      <c r="BG380" s="90"/>
      <c r="BH380" s="90"/>
      <c r="BI380" s="90"/>
      <c r="BJ380" s="90"/>
      <c r="BK380" s="90"/>
      <c r="BL380" s="91"/>
      <c r="BM380" s="447">
        <f>+DC316</f>
        <v>106984.5</v>
      </c>
      <c r="BN380" s="90"/>
      <c r="BO380" s="90"/>
      <c r="BP380" s="90"/>
      <c r="BQ380" s="90"/>
      <c r="BR380" s="90"/>
      <c r="BS380" s="90"/>
      <c r="BT380" s="91"/>
      <c r="BU380" s="262"/>
      <c r="BV380" s="90"/>
      <c r="BW380" s="90"/>
      <c r="BX380" s="90"/>
      <c r="BY380" s="90"/>
      <c r="BZ380" s="90"/>
      <c r="CA380" s="90"/>
      <c r="CB380" s="91"/>
      <c r="CC380" s="284"/>
      <c r="CD380" s="90"/>
      <c r="CE380" s="90"/>
      <c r="CF380" s="90"/>
      <c r="CG380" s="90"/>
      <c r="CH380" s="90"/>
      <c r="CI380" s="90"/>
      <c r="CJ380" s="91"/>
      <c r="CK380" s="284"/>
      <c r="CL380" s="90"/>
      <c r="CM380" s="90"/>
      <c r="CN380" s="90"/>
      <c r="CO380" s="90"/>
      <c r="CP380" s="90"/>
      <c r="CQ380" s="90"/>
      <c r="CR380" s="91"/>
      <c r="CS380" s="271"/>
      <c r="CT380" s="272"/>
      <c r="CU380" s="298"/>
      <c r="CV380" s="298"/>
      <c r="CW380" s="298"/>
      <c r="CX380" s="298"/>
      <c r="CY380" s="298"/>
      <c r="CZ380" s="299"/>
      <c r="DA380" s="274"/>
      <c r="DB380" s="275"/>
      <c r="DC380" s="275"/>
      <c r="DD380" s="275"/>
      <c r="DE380" s="275"/>
      <c r="DF380" s="275"/>
      <c r="DG380" s="275"/>
      <c r="DH380" s="275"/>
      <c r="DI380" s="276"/>
      <c r="DJ380" s="262"/>
      <c r="DK380" s="90"/>
      <c r="DL380" s="90"/>
      <c r="DM380" s="90"/>
      <c r="DN380" s="90"/>
      <c r="DO380" s="90"/>
      <c r="DP380" s="90"/>
      <c r="DQ380" s="90"/>
      <c r="DR380" s="90"/>
      <c r="DS380" s="90"/>
      <c r="DT380" s="263"/>
    </row>
    <row r="381" spans="1:124">
      <c r="A381" s="304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62"/>
      <c r="O381" s="90"/>
      <c r="P381" s="90"/>
      <c r="Q381" s="90"/>
      <c r="R381" s="90"/>
      <c r="S381" s="90"/>
      <c r="T381" s="90"/>
      <c r="U381" s="91"/>
      <c r="V381" s="261"/>
      <c r="W381" s="102"/>
      <c r="X381" s="102"/>
      <c r="Y381" s="102"/>
      <c r="Z381" s="102"/>
      <c r="AA381" s="103"/>
      <c r="AB381" s="291"/>
      <c r="AC381" s="295"/>
      <c r="AD381" s="295"/>
      <c r="AE381" s="295"/>
      <c r="AF381" s="296"/>
      <c r="AG381" s="262" t="s">
        <v>817</v>
      </c>
      <c r="AH381" s="314"/>
      <c r="AI381" s="314"/>
      <c r="AJ381" s="314"/>
      <c r="AK381" s="314"/>
      <c r="AL381" s="314"/>
      <c r="AM381" s="314"/>
      <c r="AN381" s="314"/>
      <c r="AO381" s="314"/>
      <c r="AP381" s="314"/>
      <c r="AQ381" s="314"/>
      <c r="AR381" s="314"/>
      <c r="AS381" s="314"/>
      <c r="AT381" s="314"/>
      <c r="AU381" s="314"/>
      <c r="AV381" s="366"/>
      <c r="AW381" s="284"/>
      <c r="AX381" s="90"/>
      <c r="AY381" s="90"/>
      <c r="AZ381" s="90"/>
      <c r="BA381" s="90"/>
      <c r="BB381" s="90"/>
      <c r="BC381" s="90"/>
      <c r="BD381" s="91"/>
      <c r="BE381" s="284"/>
      <c r="BF381" s="90"/>
      <c r="BG381" s="90"/>
      <c r="BH381" s="90"/>
      <c r="BI381" s="90"/>
      <c r="BJ381" s="90"/>
      <c r="BK381" s="90"/>
      <c r="BL381" s="91"/>
      <c r="BM381" s="447">
        <f>+DC356</f>
        <v>65871.25</v>
      </c>
      <c r="BN381" s="90"/>
      <c r="BO381" s="90"/>
      <c r="BP381" s="90"/>
      <c r="BQ381" s="90"/>
      <c r="BR381" s="90"/>
      <c r="BS381" s="90"/>
      <c r="BT381" s="91"/>
      <c r="BU381" s="262"/>
      <c r="BV381" s="90"/>
      <c r="BW381" s="90"/>
      <c r="BX381" s="90"/>
      <c r="BY381" s="90"/>
      <c r="BZ381" s="90"/>
      <c r="CA381" s="90"/>
      <c r="CB381" s="91"/>
      <c r="CC381" s="284"/>
      <c r="CD381" s="90"/>
      <c r="CE381" s="90"/>
      <c r="CF381" s="90"/>
      <c r="CG381" s="90"/>
      <c r="CH381" s="90"/>
      <c r="CI381" s="90"/>
      <c r="CJ381" s="91"/>
      <c r="CK381" s="284"/>
      <c r="CL381" s="90"/>
      <c r="CM381" s="90"/>
      <c r="CN381" s="90"/>
      <c r="CO381" s="90"/>
      <c r="CP381" s="90"/>
      <c r="CQ381" s="90"/>
      <c r="CR381" s="91"/>
      <c r="CS381" s="271"/>
      <c r="CT381" s="272"/>
      <c r="CU381" s="298"/>
      <c r="CV381" s="298"/>
      <c r="CW381" s="298"/>
      <c r="CX381" s="298"/>
      <c r="CY381" s="298"/>
      <c r="CZ381" s="299"/>
      <c r="DA381" s="274"/>
      <c r="DB381" s="275"/>
      <c r="DC381" s="275"/>
      <c r="DD381" s="275"/>
      <c r="DE381" s="275"/>
      <c r="DF381" s="275"/>
      <c r="DG381" s="275"/>
      <c r="DH381" s="275"/>
      <c r="DI381" s="276"/>
      <c r="DJ381" s="262"/>
      <c r="DK381" s="90"/>
      <c r="DL381" s="90"/>
      <c r="DM381" s="90"/>
      <c r="DN381" s="90"/>
      <c r="DO381" s="90"/>
      <c r="DP381" s="90"/>
      <c r="DQ381" s="90"/>
      <c r="DR381" s="90"/>
      <c r="DS381" s="90"/>
      <c r="DT381" s="263"/>
    </row>
    <row r="382" spans="1:124">
      <c r="A382" s="304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85"/>
      <c r="O382" s="286"/>
      <c r="P382" s="286"/>
      <c r="Q382" s="286"/>
      <c r="R382" s="286"/>
      <c r="S382" s="286"/>
      <c r="T382" s="286"/>
      <c r="U382" s="286"/>
      <c r="V382" s="261"/>
      <c r="W382" s="102"/>
      <c r="X382" s="102"/>
      <c r="Y382" s="102"/>
      <c r="Z382" s="102"/>
      <c r="AA382" s="103"/>
      <c r="AB382" s="312"/>
      <c r="AC382" s="313"/>
      <c r="AD382" s="313"/>
      <c r="AE382" s="313"/>
      <c r="AF382" s="313"/>
      <c r="AG382" s="357"/>
      <c r="AH382" s="358"/>
      <c r="AI382" s="358"/>
      <c r="AJ382" s="358"/>
      <c r="AK382" s="358"/>
      <c r="AL382" s="358"/>
      <c r="AM382" s="358"/>
      <c r="AN382" s="358"/>
      <c r="AO382" s="358"/>
      <c r="AP382" s="358"/>
      <c r="AQ382" s="358"/>
      <c r="AR382" s="358"/>
      <c r="AS382" s="358"/>
      <c r="AT382" s="358"/>
      <c r="AU382" s="358"/>
      <c r="AV382" s="359"/>
      <c r="AW382" s="286"/>
      <c r="AX382" s="286"/>
      <c r="AY382" s="286"/>
      <c r="AZ382" s="286"/>
      <c r="BA382" s="286"/>
      <c r="BB382" s="286"/>
      <c r="BC382" s="286"/>
      <c r="BD382" s="286"/>
      <c r="BE382" s="286"/>
      <c r="BF382" s="286"/>
      <c r="BG382" s="286"/>
      <c r="BH382" s="286"/>
      <c r="BI382" s="286"/>
      <c r="BJ382" s="286"/>
      <c r="BK382" s="286"/>
      <c r="BL382" s="286"/>
      <c r="BM382" s="262"/>
      <c r="BN382" s="90"/>
      <c r="BO382" s="90"/>
      <c r="BP382" s="90"/>
      <c r="BQ382" s="90"/>
      <c r="BR382" s="90"/>
      <c r="BS382" s="90"/>
      <c r="BT382" s="91"/>
      <c r="BU382" s="262"/>
      <c r="BV382" s="90"/>
      <c r="BW382" s="90"/>
      <c r="BX382" s="90"/>
      <c r="BY382" s="90"/>
      <c r="BZ382" s="90"/>
      <c r="CA382" s="90"/>
      <c r="CB382" s="91"/>
      <c r="CC382" s="286"/>
      <c r="CD382" s="286"/>
      <c r="CE382" s="286"/>
      <c r="CF382" s="286"/>
      <c r="CG382" s="286"/>
      <c r="CH382" s="286"/>
      <c r="CI382" s="286"/>
      <c r="CJ382" s="286"/>
      <c r="CK382" s="286"/>
      <c r="CL382" s="286"/>
      <c r="CM382" s="286"/>
      <c r="CN382" s="286"/>
      <c r="CO382" s="286"/>
      <c r="CP382" s="286"/>
      <c r="CQ382" s="286"/>
      <c r="CR382" s="286"/>
      <c r="CS382" s="271"/>
      <c r="CT382" s="272"/>
      <c r="CU382" s="298"/>
      <c r="CV382" s="298"/>
      <c r="CW382" s="298"/>
      <c r="CX382" s="298"/>
      <c r="CY382" s="298"/>
      <c r="CZ382" s="299"/>
      <c r="DA382" s="274"/>
      <c r="DB382" s="275"/>
      <c r="DC382" s="275"/>
      <c r="DD382" s="275"/>
      <c r="DE382" s="275"/>
      <c r="DF382" s="275"/>
      <c r="DG382" s="275"/>
      <c r="DH382" s="275"/>
      <c r="DI382" s="276"/>
      <c r="DJ382" s="262"/>
      <c r="DK382" s="90"/>
      <c r="DL382" s="90"/>
      <c r="DM382" s="90"/>
      <c r="DN382" s="90"/>
      <c r="DO382" s="90"/>
      <c r="DP382" s="90"/>
      <c r="DQ382" s="90"/>
      <c r="DR382" s="90"/>
      <c r="DS382" s="90"/>
      <c r="DT382" s="263"/>
    </row>
    <row r="383" spans="1:124">
      <c r="A383" s="304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85"/>
      <c r="O383" s="286"/>
      <c r="P383" s="286"/>
      <c r="Q383" s="286"/>
      <c r="R383" s="286"/>
      <c r="S383" s="286"/>
      <c r="T383" s="286"/>
      <c r="U383" s="286"/>
      <c r="V383" s="297"/>
      <c r="W383" s="102"/>
      <c r="X383" s="102"/>
      <c r="Y383" s="102"/>
      <c r="Z383" s="102"/>
      <c r="AA383" s="103"/>
      <c r="AB383" s="312"/>
      <c r="AC383" s="313"/>
      <c r="AD383" s="313"/>
      <c r="AE383" s="313"/>
      <c r="AF383" s="313"/>
      <c r="AG383" s="285"/>
      <c r="AH383" s="286"/>
      <c r="AI383" s="286"/>
      <c r="AJ383" s="286"/>
      <c r="AK383" s="286"/>
      <c r="AL383" s="286"/>
      <c r="AM383" s="286"/>
      <c r="AN383" s="286"/>
      <c r="AO383" s="286"/>
      <c r="AP383" s="286"/>
      <c r="AQ383" s="286"/>
      <c r="AR383" s="286"/>
      <c r="AS383" s="286"/>
      <c r="AT383" s="286"/>
      <c r="AU383" s="286"/>
      <c r="AV383" s="286"/>
      <c r="AW383" s="286"/>
      <c r="AX383" s="286"/>
      <c r="AY383" s="286"/>
      <c r="AZ383" s="286"/>
      <c r="BA383" s="286"/>
      <c r="BB383" s="286"/>
      <c r="BC383" s="286"/>
      <c r="BD383" s="286"/>
      <c r="BE383" s="286"/>
      <c r="BF383" s="286"/>
      <c r="BG383" s="286"/>
      <c r="BH383" s="286"/>
      <c r="BI383" s="286"/>
      <c r="BJ383" s="286"/>
      <c r="BK383" s="286"/>
      <c r="BL383" s="286"/>
      <c r="BM383" s="285"/>
      <c r="BN383" s="286"/>
      <c r="BO383" s="286"/>
      <c r="BP383" s="286"/>
      <c r="BQ383" s="286"/>
      <c r="BR383" s="286"/>
      <c r="BS383" s="286"/>
      <c r="BT383" s="286"/>
      <c r="BU383" s="262"/>
      <c r="BV383" s="90"/>
      <c r="BW383" s="90"/>
      <c r="BX383" s="90"/>
      <c r="BY383" s="90"/>
      <c r="BZ383" s="90"/>
      <c r="CA383" s="90"/>
      <c r="CB383" s="91"/>
      <c r="CC383" s="286"/>
      <c r="CD383" s="286"/>
      <c r="CE383" s="286"/>
      <c r="CF383" s="286"/>
      <c r="CG383" s="286"/>
      <c r="CH383" s="286"/>
      <c r="CI383" s="286"/>
      <c r="CJ383" s="286"/>
      <c r="CK383" s="286"/>
      <c r="CL383" s="286"/>
      <c r="CM383" s="286"/>
      <c r="CN383" s="286"/>
      <c r="CO383" s="286"/>
      <c r="CP383" s="286"/>
      <c r="CQ383" s="286"/>
      <c r="CR383" s="286"/>
      <c r="CS383" s="271"/>
      <c r="CT383" s="272"/>
      <c r="CU383" s="298"/>
      <c r="CV383" s="298"/>
      <c r="CW383" s="298"/>
      <c r="CX383" s="298"/>
      <c r="CY383" s="298"/>
      <c r="CZ383" s="299"/>
      <c r="DA383" s="274"/>
      <c r="DB383" s="275"/>
      <c r="DC383" s="275"/>
      <c r="DD383" s="275"/>
      <c r="DE383" s="275"/>
      <c r="DF383" s="275"/>
      <c r="DG383" s="275"/>
      <c r="DH383" s="275"/>
      <c r="DI383" s="276"/>
      <c r="DJ383" s="262"/>
      <c r="DK383" s="90"/>
      <c r="DL383" s="90"/>
      <c r="DM383" s="90"/>
      <c r="DN383" s="90"/>
      <c r="DO383" s="90"/>
      <c r="DP383" s="90"/>
      <c r="DQ383" s="90"/>
      <c r="DR383" s="90"/>
      <c r="DS383" s="90"/>
      <c r="DT383" s="263"/>
    </row>
    <row r="384" spans="1:124">
      <c r="A384" s="288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90"/>
      <c r="N384" s="262"/>
      <c r="O384" s="90"/>
      <c r="P384" s="90"/>
      <c r="Q384" s="90"/>
      <c r="R384" s="90"/>
      <c r="S384" s="90"/>
      <c r="T384" s="90"/>
      <c r="U384" s="91"/>
      <c r="V384" s="261"/>
      <c r="W384" s="102"/>
      <c r="X384" s="102"/>
      <c r="Y384" s="102"/>
      <c r="Z384" s="102"/>
      <c r="AA384" s="103"/>
      <c r="AB384" s="291"/>
      <c r="AC384" s="295"/>
      <c r="AD384" s="295"/>
      <c r="AE384" s="295"/>
      <c r="AF384" s="296"/>
      <c r="AG384" s="262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1"/>
      <c r="AW384" s="262"/>
      <c r="AX384" s="90"/>
      <c r="AY384" s="90"/>
      <c r="AZ384" s="90"/>
      <c r="BA384" s="90"/>
      <c r="BB384" s="90"/>
      <c r="BC384" s="90"/>
      <c r="BD384" s="91"/>
      <c r="BE384" s="284"/>
      <c r="BF384" s="90"/>
      <c r="BG384" s="90"/>
      <c r="BH384" s="90"/>
      <c r="BI384" s="90"/>
      <c r="BJ384" s="90"/>
      <c r="BK384" s="90"/>
      <c r="BL384" s="91"/>
      <c r="BM384" s="285"/>
      <c r="BN384" s="286"/>
      <c r="BO384" s="286"/>
      <c r="BP384" s="286"/>
      <c r="BQ384" s="286"/>
      <c r="BR384" s="286"/>
      <c r="BS384" s="286"/>
      <c r="BT384" s="286"/>
      <c r="BU384" s="262"/>
      <c r="BV384" s="90"/>
      <c r="BW384" s="90"/>
      <c r="BX384" s="90"/>
      <c r="BY384" s="90"/>
      <c r="BZ384" s="90"/>
      <c r="CA384" s="90"/>
      <c r="CB384" s="91"/>
      <c r="CC384" s="284"/>
      <c r="CD384" s="90"/>
      <c r="CE384" s="90"/>
      <c r="CF384" s="90"/>
      <c r="CG384" s="90"/>
      <c r="CH384" s="90"/>
      <c r="CI384" s="90"/>
      <c r="CJ384" s="91"/>
      <c r="CK384" s="284"/>
      <c r="CL384" s="90"/>
      <c r="CM384" s="90"/>
      <c r="CN384" s="90"/>
      <c r="CO384" s="90"/>
      <c r="CP384" s="90"/>
      <c r="CQ384" s="90"/>
      <c r="CR384" s="91"/>
      <c r="CS384" s="271"/>
      <c r="CT384" s="272"/>
      <c r="CU384" s="298"/>
      <c r="CV384" s="298"/>
      <c r="CW384" s="298"/>
      <c r="CX384" s="298"/>
      <c r="CY384" s="298"/>
      <c r="CZ384" s="299"/>
      <c r="DA384" s="274"/>
      <c r="DB384" s="275"/>
      <c r="DC384" s="275"/>
      <c r="DD384" s="275"/>
      <c r="DE384" s="275"/>
      <c r="DF384" s="275"/>
      <c r="DG384" s="275"/>
      <c r="DH384" s="275"/>
      <c r="DI384" s="276"/>
      <c r="DJ384" s="262"/>
      <c r="DK384" s="90"/>
      <c r="DL384" s="90"/>
      <c r="DM384" s="90"/>
      <c r="DN384" s="90"/>
      <c r="DO384" s="90"/>
      <c r="DP384" s="90"/>
      <c r="DQ384" s="90"/>
      <c r="DR384" s="90"/>
      <c r="DS384" s="90"/>
      <c r="DT384" s="263"/>
    </row>
    <row r="385" spans="1:125">
      <c r="A385" s="288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90"/>
      <c r="N385" s="262"/>
      <c r="O385" s="90"/>
      <c r="P385" s="90"/>
      <c r="Q385" s="90"/>
      <c r="R385" s="90"/>
      <c r="S385" s="90"/>
      <c r="T385" s="90"/>
      <c r="U385" s="91"/>
      <c r="V385" s="261"/>
      <c r="W385" s="102"/>
      <c r="X385" s="102"/>
      <c r="Y385" s="102"/>
      <c r="Z385" s="102"/>
      <c r="AA385" s="103"/>
      <c r="AB385" s="291"/>
      <c r="AC385" s="295"/>
      <c r="AD385" s="295"/>
      <c r="AE385" s="295"/>
      <c r="AF385" s="296"/>
      <c r="AG385" s="262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1"/>
      <c r="AW385" s="284"/>
      <c r="AX385" s="90"/>
      <c r="AY385" s="90"/>
      <c r="AZ385" s="90"/>
      <c r="BA385" s="90"/>
      <c r="BB385" s="90"/>
      <c r="BC385" s="90"/>
      <c r="BD385" s="91"/>
      <c r="BE385" s="284"/>
      <c r="BF385" s="90"/>
      <c r="BG385" s="90"/>
      <c r="BH385" s="90"/>
      <c r="BI385" s="90"/>
      <c r="BJ385" s="90"/>
      <c r="BK385" s="90"/>
      <c r="BL385" s="91"/>
      <c r="BM385" s="262"/>
      <c r="BN385" s="90"/>
      <c r="BO385" s="90"/>
      <c r="BP385" s="90"/>
      <c r="BQ385" s="90"/>
      <c r="BR385" s="90"/>
      <c r="BS385" s="90"/>
      <c r="BT385" s="91"/>
      <c r="BU385" s="262"/>
      <c r="BV385" s="90"/>
      <c r="BW385" s="90"/>
      <c r="BX385" s="90"/>
      <c r="BY385" s="90"/>
      <c r="BZ385" s="90"/>
      <c r="CA385" s="90"/>
      <c r="CB385" s="91"/>
      <c r="CC385" s="262"/>
      <c r="CD385" s="90"/>
      <c r="CE385" s="90"/>
      <c r="CF385" s="90"/>
      <c r="CG385" s="90"/>
      <c r="CH385" s="90"/>
      <c r="CI385" s="90"/>
      <c r="CJ385" s="91"/>
      <c r="CK385" s="284"/>
      <c r="CL385" s="90"/>
      <c r="CM385" s="90"/>
      <c r="CN385" s="90"/>
      <c r="CO385" s="90"/>
      <c r="CP385" s="90"/>
      <c r="CQ385" s="90"/>
      <c r="CR385" s="91"/>
      <c r="CS385" s="271"/>
      <c r="CT385" s="272"/>
      <c r="CU385" s="298"/>
      <c r="CV385" s="298"/>
      <c r="CW385" s="298"/>
      <c r="CX385" s="298"/>
      <c r="CY385" s="298"/>
      <c r="CZ385" s="299"/>
      <c r="DA385" s="274"/>
      <c r="DB385" s="275"/>
      <c r="DC385" s="275"/>
      <c r="DD385" s="275"/>
      <c r="DE385" s="275"/>
      <c r="DF385" s="275"/>
      <c r="DG385" s="275"/>
      <c r="DH385" s="275"/>
      <c r="DI385" s="276"/>
      <c r="DJ385" s="262"/>
      <c r="DK385" s="90"/>
      <c r="DL385" s="90"/>
      <c r="DM385" s="90"/>
      <c r="DN385" s="90"/>
      <c r="DO385" s="90"/>
      <c r="DP385" s="90"/>
      <c r="DQ385" s="90"/>
      <c r="DR385" s="90"/>
      <c r="DS385" s="90"/>
      <c r="DT385" s="263"/>
    </row>
    <row r="386" spans="1:125">
      <c r="A386" s="304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85"/>
      <c r="O386" s="286"/>
      <c r="P386" s="286"/>
      <c r="Q386" s="286"/>
      <c r="R386" s="286"/>
      <c r="S386" s="286"/>
      <c r="T386" s="286"/>
      <c r="U386" s="286"/>
      <c r="V386" s="261"/>
      <c r="W386" s="102"/>
      <c r="X386" s="102"/>
      <c r="Y386" s="102"/>
      <c r="Z386" s="102"/>
      <c r="AA386" s="103"/>
      <c r="AB386" s="312"/>
      <c r="AC386" s="313"/>
      <c r="AD386" s="313"/>
      <c r="AE386" s="313"/>
      <c r="AF386" s="313"/>
      <c r="AG386" s="357"/>
      <c r="AH386" s="358"/>
      <c r="AI386" s="358"/>
      <c r="AJ386" s="358"/>
      <c r="AK386" s="358"/>
      <c r="AL386" s="358"/>
      <c r="AM386" s="358"/>
      <c r="AN386" s="358"/>
      <c r="AO386" s="358"/>
      <c r="AP386" s="358"/>
      <c r="AQ386" s="358"/>
      <c r="AR386" s="358"/>
      <c r="AS386" s="358"/>
      <c r="AT386" s="358"/>
      <c r="AU386" s="358"/>
      <c r="AV386" s="359"/>
      <c r="AW386" s="286"/>
      <c r="AX386" s="286"/>
      <c r="AY386" s="286"/>
      <c r="AZ386" s="286"/>
      <c r="BA386" s="286"/>
      <c r="BB386" s="286"/>
      <c r="BC386" s="286"/>
      <c r="BD386" s="286"/>
      <c r="BE386" s="286"/>
      <c r="BF386" s="286"/>
      <c r="BG386" s="286"/>
      <c r="BH386" s="286"/>
      <c r="BI386" s="286"/>
      <c r="BJ386" s="286"/>
      <c r="BK386" s="286"/>
      <c r="BL386" s="286"/>
      <c r="BM386" s="262"/>
      <c r="BN386" s="90"/>
      <c r="BO386" s="90"/>
      <c r="BP386" s="90"/>
      <c r="BQ386" s="90"/>
      <c r="BR386" s="90"/>
      <c r="BS386" s="90"/>
      <c r="BT386" s="91"/>
      <c r="BU386" s="262"/>
      <c r="BV386" s="90"/>
      <c r="BW386" s="90"/>
      <c r="BX386" s="90"/>
      <c r="BY386" s="90"/>
      <c r="BZ386" s="90"/>
      <c r="CA386" s="90"/>
      <c r="CB386" s="91"/>
      <c r="CC386" s="286"/>
      <c r="CD386" s="286"/>
      <c r="CE386" s="286"/>
      <c r="CF386" s="286"/>
      <c r="CG386" s="286"/>
      <c r="CH386" s="286"/>
      <c r="CI386" s="286"/>
      <c r="CJ386" s="286"/>
      <c r="CK386" s="286"/>
      <c r="CL386" s="286"/>
      <c r="CM386" s="286"/>
      <c r="CN386" s="286"/>
      <c r="CO386" s="286"/>
      <c r="CP386" s="286"/>
      <c r="CQ386" s="286"/>
      <c r="CR386" s="286"/>
      <c r="CS386" s="271"/>
      <c r="CT386" s="272"/>
      <c r="CU386" s="298"/>
      <c r="CV386" s="298"/>
      <c r="CW386" s="298"/>
      <c r="CX386" s="298"/>
      <c r="CY386" s="298"/>
      <c r="CZ386" s="299"/>
      <c r="DA386" s="274"/>
      <c r="DB386" s="275"/>
      <c r="DC386" s="275"/>
      <c r="DD386" s="275"/>
      <c r="DE386" s="275"/>
      <c r="DF386" s="275"/>
      <c r="DG386" s="275"/>
      <c r="DH386" s="275"/>
      <c r="DI386" s="276"/>
      <c r="DJ386" s="262"/>
      <c r="DK386" s="90"/>
      <c r="DL386" s="90"/>
      <c r="DM386" s="90"/>
      <c r="DN386" s="90"/>
      <c r="DO386" s="90"/>
      <c r="DP386" s="90"/>
      <c r="DQ386" s="90"/>
      <c r="DR386" s="90"/>
      <c r="DS386" s="90"/>
      <c r="DT386" s="263"/>
    </row>
    <row r="387" spans="1:125">
      <c r="A387" s="288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90"/>
      <c r="N387" s="260"/>
      <c r="O387" s="102"/>
      <c r="P387" s="102"/>
      <c r="Q387" s="102"/>
      <c r="R387" s="102"/>
      <c r="S387" s="102"/>
      <c r="T387" s="102"/>
      <c r="U387" s="103"/>
      <c r="V387" s="261"/>
      <c r="W387" s="102"/>
      <c r="X387" s="102"/>
      <c r="Y387" s="102"/>
      <c r="Z387" s="102"/>
      <c r="AA387" s="103"/>
      <c r="AB387" s="291"/>
      <c r="AC387" s="295"/>
      <c r="AD387" s="295"/>
      <c r="AE387" s="295"/>
      <c r="AF387" s="296"/>
      <c r="AG387" s="262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1"/>
      <c r="AW387" s="284"/>
      <c r="AX387" s="90"/>
      <c r="AY387" s="90"/>
      <c r="AZ387" s="90"/>
      <c r="BA387" s="90"/>
      <c r="BB387" s="90"/>
      <c r="BC387" s="90"/>
      <c r="BD387" s="91"/>
      <c r="BE387" s="284"/>
      <c r="BF387" s="90"/>
      <c r="BG387" s="90"/>
      <c r="BH387" s="90"/>
      <c r="BI387" s="90"/>
      <c r="BJ387" s="90"/>
      <c r="BK387" s="90"/>
      <c r="BL387" s="91"/>
      <c r="BM387" s="285"/>
      <c r="BN387" s="286"/>
      <c r="BO387" s="286"/>
      <c r="BP387" s="286"/>
      <c r="BQ387" s="286"/>
      <c r="BR387" s="286"/>
      <c r="BS387" s="286"/>
      <c r="BT387" s="286"/>
      <c r="BU387" s="262"/>
      <c r="BV387" s="90"/>
      <c r="BW387" s="90"/>
      <c r="BX387" s="90"/>
      <c r="BY387" s="90"/>
      <c r="BZ387" s="90"/>
      <c r="CA387" s="90"/>
      <c r="CB387" s="91"/>
      <c r="CC387" s="284"/>
      <c r="CD387" s="90"/>
      <c r="CE387" s="90"/>
      <c r="CF387" s="90"/>
      <c r="CG387" s="90"/>
      <c r="CH387" s="90"/>
      <c r="CI387" s="90"/>
      <c r="CJ387" s="91"/>
      <c r="CK387" s="284"/>
      <c r="CL387" s="90"/>
      <c r="CM387" s="90"/>
      <c r="CN387" s="90"/>
      <c r="CO387" s="90"/>
      <c r="CP387" s="90"/>
      <c r="CQ387" s="90"/>
      <c r="CR387" s="91"/>
      <c r="CS387" s="271"/>
      <c r="CT387" s="272"/>
      <c r="CU387" s="298"/>
      <c r="CV387" s="298"/>
      <c r="CW387" s="298"/>
      <c r="CX387" s="298"/>
      <c r="CY387" s="298"/>
      <c r="CZ387" s="299"/>
      <c r="DA387" s="274"/>
      <c r="DB387" s="275"/>
      <c r="DC387" s="275"/>
      <c r="DD387" s="275"/>
      <c r="DE387" s="275"/>
      <c r="DF387" s="275"/>
      <c r="DG387" s="275"/>
      <c r="DH387" s="275"/>
      <c r="DI387" s="276"/>
      <c r="DJ387" s="262"/>
      <c r="DK387" s="90"/>
      <c r="DL387" s="90"/>
      <c r="DM387" s="90"/>
      <c r="DN387" s="90"/>
      <c r="DO387" s="90"/>
      <c r="DP387" s="90"/>
      <c r="DQ387" s="90"/>
      <c r="DR387" s="90"/>
      <c r="DS387" s="90"/>
      <c r="DT387" s="263"/>
    </row>
    <row r="388" spans="1:125">
      <c r="A388" s="288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90"/>
      <c r="N388" s="262"/>
      <c r="O388" s="90"/>
      <c r="P388" s="90"/>
      <c r="Q388" s="90"/>
      <c r="R388" s="90"/>
      <c r="S388" s="90"/>
      <c r="T388" s="90"/>
      <c r="U388" s="91"/>
      <c r="V388" s="297"/>
      <c r="W388" s="102"/>
      <c r="X388" s="102"/>
      <c r="Y388" s="102"/>
      <c r="Z388" s="102"/>
      <c r="AA388" s="103"/>
      <c r="AB388" s="291"/>
      <c r="AC388" s="295"/>
      <c r="AD388" s="295"/>
      <c r="AE388" s="295"/>
      <c r="AF388" s="296"/>
      <c r="AG388" s="262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1"/>
      <c r="AW388" s="262"/>
      <c r="AX388" s="90"/>
      <c r="AY388" s="90"/>
      <c r="AZ388" s="90"/>
      <c r="BA388" s="90"/>
      <c r="BB388" s="90"/>
      <c r="BC388" s="90"/>
      <c r="BD388" s="91"/>
      <c r="BE388" s="262"/>
      <c r="BF388" s="90"/>
      <c r="BG388" s="90"/>
      <c r="BH388" s="90"/>
      <c r="BI388" s="90"/>
      <c r="BJ388" s="90"/>
      <c r="BK388" s="90"/>
      <c r="BL388" s="91"/>
      <c r="BM388" s="262"/>
      <c r="BN388" s="90"/>
      <c r="BO388" s="90"/>
      <c r="BP388" s="90"/>
      <c r="BQ388" s="90"/>
      <c r="BR388" s="90"/>
      <c r="BS388" s="90"/>
      <c r="BT388" s="91"/>
      <c r="BU388" s="262"/>
      <c r="BV388" s="90"/>
      <c r="BW388" s="90"/>
      <c r="BX388" s="90"/>
      <c r="BY388" s="90"/>
      <c r="BZ388" s="90"/>
      <c r="CA388" s="90"/>
      <c r="CB388" s="91"/>
      <c r="CC388" s="262"/>
      <c r="CD388" s="90"/>
      <c r="CE388" s="90"/>
      <c r="CF388" s="90"/>
      <c r="CG388" s="90"/>
      <c r="CH388" s="90"/>
      <c r="CI388" s="90"/>
      <c r="CJ388" s="91"/>
      <c r="CK388" s="262"/>
      <c r="CL388" s="90"/>
      <c r="CM388" s="90"/>
      <c r="CN388" s="90"/>
      <c r="CO388" s="90"/>
      <c r="CP388" s="90"/>
      <c r="CQ388" s="90"/>
      <c r="CR388" s="91"/>
      <c r="CS388" s="271"/>
      <c r="CT388" s="272"/>
      <c r="CU388" s="298"/>
      <c r="CV388" s="298"/>
      <c r="CW388" s="298"/>
      <c r="CX388" s="298"/>
      <c r="CY388" s="298"/>
      <c r="CZ388" s="299"/>
      <c r="DA388" s="274"/>
      <c r="DB388" s="275"/>
      <c r="DC388" s="275"/>
      <c r="DD388" s="275"/>
      <c r="DE388" s="275"/>
      <c r="DF388" s="275"/>
      <c r="DG388" s="275"/>
      <c r="DH388" s="275"/>
      <c r="DI388" s="276"/>
      <c r="DJ388" s="262"/>
      <c r="DK388" s="90"/>
      <c r="DL388" s="90"/>
      <c r="DM388" s="90"/>
      <c r="DN388" s="90"/>
      <c r="DO388" s="90"/>
      <c r="DP388" s="90"/>
      <c r="DQ388" s="90"/>
      <c r="DR388" s="90"/>
      <c r="DS388" s="90"/>
      <c r="DT388" s="263"/>
    </row>
    <row r="389" spans="1:125">
      <c r="A389" s="288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90"/>
      <c r="N389" s="262"/>
      <c r="O389" s="90"/>
      <c r="P389" s="90"/>
      <c r="Q389" s="90"/>
      <c r="R389" s="90"/>
      <c r="S389" s="90"/>
      <c r="T389" s="90"/>
      <c r="U389" s="91"/>
      <c r="V389" s="297"/>
      <c r="W389" s="102"/>
      <c r="X389" s="102"/>
      <c r="Y389" s="102"/>
      <c r="Z389" s="102"/>
      <c r="AA389" s="103"/>
      <c r="AB389" s="291"/>
      <c r="AC389" s="295"/>
      <c r="AD389" s="295"/>
      <c r="AE389" s="295"/>
      <c r="AF389" s="296"/>
      <c r="AG389" s="262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1"/>
      <c r="AW389" s="262"/>
      <c r="AX389" s="90"/>
      <c r="AY389" s="90"/>
      <c r="AZ389" s="90"/>
      <c r="BA389" s="90"/>
      <c r="BB389" s="90"/>
      <c r="BC389" s="90"/>
      <c r="BD389" s="91"/>
      <c r="BE389" s="262"/>
      <c r="BF389" s="90"/>
      <c r="BG389" s="90"/>
      <c r="BH389" s="90"/>
      <c r="BI389" s="90"/>
      <c r="BJ389" s="90"/>
      <c r="BK389" s="90"/>
      <c r="BL389" s="91"/>
      <c r="BM389" s="262"/>
      <c r="BN389" s="90"/>
      <c r="BO389" s="90"/>
      <c r="BP389" s="90"/>
      <c r="BQ389" s="90"/>
      <c r="BR389" s="90"/>
      <c r="BS389" s="90"/>
      <c r="BT389" s="91"/>
      <c r="BU389" s="262"/>
      <c r="BV389" s="90"/>
      <c r="BW389" s="90"/>
      <c r="BX389" s="90"/>
      <c r="BY389" s="90"/>
      <c r="BZ389" s="90"/>
      <c r="CA389" s="90"/>
      <c r="CB389" s="91"/>
      <c r="CC389" s="262"/>
      <c r="CD389" s="90"/>
      <c r="CE389" s="90"/>
      <c r="CF389" s="90"/>
      <c r="CG389" s="90"/>
      <c r="CH389" s="90"/>
      <c r="CI389" s="90"/>
      <c r="CJ389" s="91"/>
      <c r="CK389" s="262"/>
      <c r="CL389" s="90"/>
      <c r="CM389" s="90"/>
      <c r="CN389" s="90"/>
      <c r="CO389" s="90"/>
      <c r="CP389" s="90"/>
      <c r="CQ389" s="90"/>
      <c r="CR389" s="91"/>
      <c r="CS389" s="271"/>
      <c r="CT389" s="272"/>
      <c r="CU389" s="298"/>
      <c r="CV389" s="298"/>
      <c r="CW389" s="298"/>
      <c r="CX389" s="298"/>
      <c r="CY389" s="298"/>
      <c r="CZ389" s="299"/>
      <c r="DA389" s="274"/>
      <c r="DB389" s="275"/>
      <c r="DC389" s="275"/>
      <c r="DD389" s="275"/>
      <c r="DE389" s="275"/>
      <c r="DF389" s="275"/>
      <c r="DG389" s="275"/>
      <c r="DH389" s="275"/>
      <c r="DI389" s="276"/>
      <c r="DJ389" s="262"/>
      <c r="DK389" s="90"/>
      <c r="DL389" s="90"/>
      <c r="DM389" s="90"/>
      <c r="DN389" s="90"/>
      <c r="DO389" s="90"/>
      <c r="DP389" s="90"/>
      <c r="DQ389" s="90"/>
      <c r="DR389" s="90"/>
      <c r="DS389" s="90"/>
      <c r="DT389" s="263"/>
    </row>
    <row r="390" spans="1:125">
      <c r="A390" s="304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85"/>
      <c r="O390" s="286"/>
      <c r="P390" s="286"/>
      <c r="Q390" s="286"/>
      <c r="R390" s="286"/>
      <c r="S390" s="286"/>
      <c r="T390" s="286"/>
      <c r="U390" s="286"/>
      <c r="V390" s="297"/>
      <c r="W390" s="102"/>
      <c r="X390" s="102"/>
      <c r="Y390" s="102"/>
      <c r="Z390" s="102"/>
      <c r="AA390" s="103"/>
      <c r="AB390" s="312"/>
      <c r="AC390" s="313"/>
      <c r="AD390" s="313"/>
      <c r="AE390" s="313"/>
      <c r="AF390" s="313"/>
      <c r="AG390" s="285"/>
      <c r="AH390" s="286"/>
      <c r="AI390" s="286"/>
      <c r="AJ390" s="286"/>
      <c r="AK390" s="286"/>
      <c r="AL390" s="286"/>
      <c r="AM390" s="286"/>
      <c r="AN390" s="286"/>
      <c r="AO390" s="286"/>
      <c r="AP390" s="286"/>
      <c r="AQ390" s="286"/>
      <c r="AR390" s="286"/>
      <c r="AS390" s="286"/>
      <c r="AT390" s="286"/>
      <c r="AU390" s="286"/>
      <c r="AV390" s="286"/>
      <c r="AW390" s="285"/>
      <c r="AX390" s="286"/>
      <c r="AY390" s="286"/>
      <c r="AZ390" s="286"/>
      <c r="BA390" s="286"/>
      <c r="BB390" s="286"/>
      <c r="BC390" s="286"/>
      <c r="BD390" s="286"/>
      <c r="BE390" s="285"/>
      <c r="BF390" s="286"/>
      <c r="BG390" s="286"/>
      <c r="BH390" s="286"/>
      <c r="BI390" s="286"/>
      <c r="BJ390" s="286"/>
      <c r="BK390" s="286"/>
      <c r="BL390" s="286"/>
      <c r="BM390" s="262"/>
      <c r="BN390" s="90"/>
      <c r="BO390" s="90"/>
      <c r="BP390" s="90"/>
      <c r="BQ390" s="90"/>
      <c r="BR390" s="90"/>
      <c r="BS390" s="90"/>
      <c r="BT390" s="91"/>
      <c r="BU390" s="262"/>
      <c r="BV390" s="90"/>
      <c r="BW390" s="90"/>
      <c r="BX390" s="90"/>
      <c r="BY390" s="90"/>
      <c r="BZ390" s="90"/>
      <c r="CA390" s="90"/>
      <c r="CB390" s="91"/>
      <c r="CC390" s="285"/>
      <c r="CD390" s="286"/>
      <c r="CE390" s="286"/>
      <c r="CF390" s="286"/>
      <c r="CG390" s="286"/>
      <c r="CH390" s="286"/>
      <c r="CI390" s="286"/>
      <c r="CJ390" s="286"/>
      <c r="CK390" s="262"/>
      <c r="CL390" s="90"/>
      <c r="CM390" s="90"/>
      <c r="CN390" s="90"/>
      <c r="CO390" s="90"/>
      <c r="CP390" s="90"/>
      <c r="CQ390" s="90"/>
      <c r="CR390" s="91"/>
      <c r="CS390" s="271"/>
      <c r="CT390" s="272"/>
      <c r="CU390" s="298"/>
      <c r="CV390" s="298"/>
      <c r="CW390" s="298"/>
      <c r="CX390" s="298"/>
      <c r="CY390" s="298"/>
      <c r="CZ390" s="299"/>
      <c r="DA390" s="274"/>
      <c r="DB390" s="275"/>
      <c r="DC390" s="275"/>
      <c r="DD390" s="275"/>
      <c r="DE390" s="275"/>
      <c r="DF390" s="275"/>
      <c r="DG390" s="275"/>
      <c r="DH390" s="275"/>
      <c r="DI390" s="276"/>
      <c r="DJ390" s="285"/>
      <c r="DK390" s="286"/>
      <c r="DL390" s="286"/>
      <c r="DM390" s="286"/>
      <c r="DN390" s="286"/>
      <c r="DO390" s="286"/>
      <c r="DP390" s="286"/>
      <c r="DQ390" s="286"/>
      <c r="DR390" s="286"/>
      <c r="DS390" s="286"/>
      <c r="DT390" s="287"/>
    </row>
    <row r="391" spans="1:125">
      <c r="A391" s="304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85"/>
      <c r="O391" s="286"/>
      <c r="P391" s="286"/>
      <c r="Q391" s="286"/>
      <c r="R391" s="286"/>
      <c r="S391" s="286"/>
      <c r="T391" s="286"/>
      <c r="U391" s="286"/>
      <c r="V391" s="297"/>
      <c r="W391" s="102"/>
      <c r="X391" s="102"/>
      <c r="Y391" s="102"/>
      <c r="Z391" s="102"/>
      <c r="AA391" s="103"/>
      <c r="AB391" s="312"/>
      <c r="AC391" s="313"/>
      <c r="AD391" s="313"/>
      <c r="AE391" s="313"/>
      <c r="AF391" s="313"/>
      <c r="AG391" s="285"/>
      <c r="AH391" s="286"/>
      <c r="AI391" s="286"/>
      <c r="AJ391" s="286"/>
      <c r="AK391" s="286"/>
      <c r="AL391" s="286"/>
      <c r="AM391" s="286"/>
      <c r="AN391" s="286"/>
      <c r="AO391" s="286"/>
      <c r="AP391" s="286"/>
      <c r="AQ391" s="286"/>
      <c r="AR391" s="286"/>
      <c r="AS391" s="286"/>
      <c r="AT391" s="286"/>
      <c r="AU391" s="286"/>
      <c r="AV391" s="286"/>
      <c r="AW391" s="286"/>
      <c r="AX391" s="286"/>
      <c r="AY391" s="286"/>
      <c r="AZ391" s="286"/>
      <c r="BA391" s="286"/>
      <c r="BB391" s="286"/>
      <c r="BC391" s="286"/>
      <c r="BD391" s="286"/>
      <c r="BE391" s="286"/>
      <c r="BF391" s="286"/>
      <c r="BG391" s="286"/>
      <c r="BH391" s="286"/>
      <c r="BI391" s="286"/>
      <c r="BJ391" s="286"/>
      <c r="BK391" s="286"/>
      <c r="BL391" s="286"/>
      <c r="BM391" s="285"/>
      <c r="BN391" s="286"/>
      <c r="BO391" s="286"/>
      <c r="BP391" s="286"/>
      <c r="BQ391" s="286"/>
      <c r="BR391" s="286"/>
      <c r="BS391" s="286"/>
      <c r="BT391" s="286"/>
      <c r="BU391" s="262"/>
      <c r="BV391" s="90"/>
      <c r="BW391" s="90"/>
      <c r="BX391" s="90"/>
      <c r="BY391" s="90"/>
      <c r="BZ391" s="90"/>
      <c r="CA391" s="90"/>
      <c r="CB391" s="91"/>
      <c r="CC391" s="286"/>
      <c r="CD391" s="286"/>
      <c r="CE391" s="286"/>
      <c r="CF391" s="286"/>
      <c r="CG391" s="286"/>
      <c r="CH391" s="286"/>
      <c r="CI391" s="286"/>
      <c r="CJ391" s="286"/>
      <c r="CK391" s="286"/>
      <c r="CL391" s="286"/>
      <c r="CM391" s="286"/>
      <c r="CN391" s="286"/>
      <c r="CO391" s="286"/>
      <c r="CP391" s="286"/>
      <c r="CQ391" s="286"/>
      <c r="CR391" s="286"/>
      <c r="CS391" s="271"/>
      <c r="CT391" s="272"/>
      <c r="CU391" s="298"/>
      <c r="CV391" s="298"/>
      <c r="CW391" s="298"/>
      <c r="CX391" s="298"/>
      <c r="CY391" s="298"/>
      <c r="CZ391" s="299"/>
      <c r="DA391" s="274"/>
      <c r="DB391" s="275"/>
      <c r="DC391" s="275"/>
      <c r="DD391" s="275"/>
      <c r="DE391" s="275"/>
      <c r="DF391" s="275"/>
      <c r="DG391" s="275"/>
      <c r="DH391" s="275"/>
      <c r="DI391" s="276"/>
      <c r="DJ391" s="285"/>
      <c r="DK391" s="286"/>
      <c r="DL391" s="286"/>
      <c r="DM391" s="286"/>
      <c r="DN391" s="286"/>
      <c r="DO391" s="286"/>
      <c r="DP391" s="286"/>
      <c r="DQ391" s="286"/>
      <c r="DR391" s="286"/>
      <c r="DS391" s="286"/>
      <c r="DT391" s="287"/>
    </row>
    <row r="392" spans="1:125">
      <c r="A392" s="304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85"/>
      <c r="O392" s="286"/>
      <c r="P392" s="286"/>
      <c r="Q392" s="286"/>
      <c r="R392" s="286"/>
      <c r="S392" s="286"/>
      <c r="T392" s="286"/>
      <c r="U392" s="286"/>
      <c r="V392" s="360"/>
      <c r="W392" s="102"/>
      <c r="X392" s="102"/>
      <c r="Y392" s="102"/>
      <c r="Z392" s="102"/>
      <c r="AA392" s="103"/>
      <c r="AB392" s="312"/>
      <c r="AC392" s="313"/>
      <c r="AD392" s="313"/>
      <c r="AE392" s="313"/>
      <c r="AF392" s="313"/>
      <c r="AG392" s="285"/>
      <c r="AH392" s="286"/>
      <c r="AI392" s="286"/>
      <c r="AJ392" s="286"/>
      <c r="AK392" s="286"/>
      <c r="AL392" s="286"/>
      <c r="AM392" s="286"/>
      <c r="AN392" s="286"/>
      <c r="AO392" s="286"/>
      <c r="AP392" s="286"/>
      <c r="AQ392" s="286"/>
      <c r="AR392" s="286"/>
      <c r="AS392" s="286"/>
      <c r="AT392" s="286"/>
      <c r="AU392" s="286"/>
      <c r="AV392" s="286"/>
      <c r="AW392" s="286"/>
      <c r="AX392" s="286"/>
      <c r="AY392" s="286"/>
      <c r="AZ392" s="286"/>
      <c r="BA392" s="286"/>
      <c r="BB392" s="286"/>
      <c r="BC392" s="286"/>
      <c r="BD392" s="286"/>
      <c r="BE392" s="286"/>
      <c r="BF392" s="286"/>
      <c r="BG392" s="286"/>
      <c r="BH392" s="286"/>
      <c r="BI392" s="286"/>
      <c r="BJ392" s="286"/>
      <c r="BK392" s="286"/>
      <c r="BL392" s="286"/>
      <c r="BM392" s="286"/>
      <c r="BN392" s="286"/>
      <c r="BO392" s="286"/>
      <c r="BP392" s="286"/>
      <c r="BQ392" s="286"/>
      <c r="BR392" s="286"/>
      <c r="BS392" s="286"/>
      <c r="BT392" s="286"/>
      <c r="BU392" s="285"/>
      <c r="BV392" s="286"/>
      <c r="BW392" s="286"/>
      <c r="BX392" s="286"/>
      <c r="BY392" s="286"/>
      <c r="BZ392" s="286"/>
      <c r="CA392" s="286"/>
      <c r="CB392" s="286"/>
      <c r="CC392" s="286"/>
      <c r="CD392" s="286"/>
      <c r="CE392" s="286"/>
      <c r="CF392" s="286"/>
      <c r="CG392" s="286"/>
      <c r="CH392" s="286"/>
      <c r="CI392" s="286"/>
      <c r="CJ392" s="286"/>
      <c r="CK392" s="286"/>
      <c r="CL392" s="286"/>
      <c r="CM392" s="286"/>
      <c r="CN392" s="286"/>
      <c r="CO392" s="286"/>
      <c r="CP392" s="286"/>
      <c r="CQ392" s="286"/>
      <c r="CR392" s="286"/>
      <c r="CS392" s="271"/>
      <c r="CT392" s="272"/>
      <c r="CU392" s="298"/>
      <c r="CV392" s="298"/>
      <c r="CW392" s="298"/>
      <c r="CX392" s="298"/>
      <c r="CY392" s="298"/>
      <c r="CZ392" s="299"/>
      <c r="DA392" s="274"/>
      <c r="DB392" s="275"/>
      <c r="DC392" s="275"/>
      <c r="DD392" s="275"/>
      <c r="DE392" s="275"/>
      <c r="DF392" s="275"/>
      <c r="DG392" s="275"/>
      <c r="DH392" s="275"/>
      <c r="DI392" s="276"/>
      <c r="DJ392" s="285"/>
      <c r="DK392" s="286"/>
      <c r="DL392" s="286"/>
      <c r="DM392" s="286"/>
      <c r="DN392" s="286"/>
      <c r="DO392" s="286"/>
      <c r="DP392" s="286"/>
      <c r="DQ392" s="286"/>
      <c r="DR392" s="286"/>
      <c r="DS392" s="286"/>
      <c r="DT392" s="287"/>
    </row>
    <row r="393" spans="1:125">
      <c r="A393" s="304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85"/>
      <c r="O393" s="286"/>
      <c r="P393" s="286"/>
      <c r="Q393" s="286"/>
      <c r="R393" s="286"/>
      <c r="S393" s="286"/>
      <c r="T393" s="286"/>
      <c r="U393" s="286"/>
      <c r="V393" s="297"/>
      <c r="W393" s="102"/>
      <c r="X393" s="102"/>
      <c r="Y393" s="102"/>
      <c r="Z393" s="102"/>
      <c r="AA393" s="103"/>
      <c r="AB393" s="312"/>
      <c r="AC393" s="313"/>
      <c r="AD393" s="313"/>
      <c r="AE393" s="313"/>
      <c r="AF393" s="313"/>
      <c r="AG393" s="285"/>
      <c r="AH393" s="286"/>
      <c r="AI393" s="286"/>
      <c r="AJ393" s="286"/>
      <c r="AK393" s="286"/>
      <c r="AL393" s="286"/>
      <c r="AM393" s="286"/>
      <c r="AN393" s="286"/>
      <c r="AO393" s="286"/>
      <c r="AP393" s="286"/>
      <c r="AQ393" s="286"/>
      <c r="AR393" s="286"/>
      <c r="AS393" s="286"/>
      <c r="AT393" s="286"/>
      <c r="AU393" s="286"/>
      <c r="AV393" s="286"/>
      <c r="AW393" s="285"/>
      <c r="AX393" s="286"/>
      <c r="AY393" s="286"/>
      <c r="AZ393" s="286"/>
      <c r="BA393" s="286"/>
      <c r="BB393" s="286"/>
      <c r="BC393" s="286"/>
      <c r="BD393" s="286"/>
      <c r="BE393" s="286"/>
      <c r="BF393" s="286"/>
      <c r="BG393" s="286"/>
      <c r="BH393" s="286"/>
      <c r="BI393" s="286"/>
      <c r="BJ393" s="286"/>
      <c r="BK393" s="286"/>
      <c r="BL393" s="286"/>
      <c r="BM393" s="285"/>
      <c r="BN393" s="286"/>
      <c r="BO393" s="286"/>
      <c r="BP393" s="286"/>
      <c r="BQ393" s="286"/>
      <c r="BR393" s="286"/>
      <c r="BS393" s="286"/>
      <c r="BT393" s="286"/>
      <c r="BU393" s="285"/>
      <c r="BV393" s="286"/>
      <c r="BW393" s="286"/>
      <c r="BX393" s="286"/>
      <c r="BY393" s="286"/>
      <c r="BZ393" s="286"/>
      <c r="CA393" s="286"/>
      <c r="CB393" s="286"/>
      <c r="CC393" s="286"/>
      <c r="CD393" s="286"/>
      <c r="CE393" s="286"/>
      <c r="CF393" s="286"/>
      <c r="CG393" s="286"/>
      <c r="CH393" s="286"/>
      <c r="CI393" s="286"/>
      <c r="CJ393" s="286"/>
      <c r="CK393" s="286"/>
      <c r="CL393" s="286"/>
      <c r="CM393" s="286"/>
      <c r="CN393" s="286"/>
      <c r="CO393" s="286"/>
      <c r="CP393" s="286"/>
      <c r="CQ393" s="286"/>
      <c r="CR393" s="286"/>
      <c r="CS393" s="271"/>
      <c r="CT393" s="272"/>
      <c r="CU393" s="298"/>
      <c r="CV393" s="298"/>
      <c r="CW393" s="298"/>
      <c r="CX393" s="298"/>
      <c r="CY393" s="298"/>
      <c r="CZ393" s="299"/>
      <c r="DA393" s="274"/>
      <c r="DB393" s="275"/>
      <c r="DC393" s="275"/>
      <c r="DD393" s="275"/>
      <c r="DE393" s="275"/>
      <c r="DF393" s="275"/>
      <c r="DG393" s="275"/>
      <c r="DH393" s="275"/>
      <c r="DI393" s="276"/>
      <c r="DJ393" s="285"/>
      <c r="DK393" s="286"/>
      <c r="DL393" s="286"/>
      <c r="DM393" s="286"/>
      <c r="DN393" s="286"/>
      <c r="DO393" s="286"/>
      <c r="DP393" s="286"/>
      <c r="DQ393" s="286"/>
      <c r="DR393" s="286"/>
      <c r="DS393" s="286"/>
      <c r="DT393" s="287"/>
    </row>
    <row r="394" spans="1:125">
      <c r="A394" s="304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85"/>
      <c r="O394" s="286"/>
      <c r="P394" s="286"/>
      <c r="Q394" s="286"/>
      <c r="R394" s="286"/>
      <c r="S394" s="286"/>
      <c r="T394" s="286"/>
      <c r="U394" s="286"/>
      <c r="V394" s="297"/>
      <c r="W394" s="102"/>
      <c r="X394" s="102"/>
      <c r="Y394" s="102"/>
      <c r="Z394" s="102"/>
      <c r="AA394" s="103"/>
      <c r="AB394" s="312"/>
      <c r="AC394" s="313"/>
      <c r="AD394" s="313"/>
      <c r="AE394" s="313"/>
      <c r="AF394" s="313"/>
      <c r="AG394" s="285"/>
      <c r="AH394" s="286"/>
      <c r="AI394" s="286"/>
      <c r="AJ394" s="286"/>
      <c r="AK394" s="286"/>
      <c r="AL394" s="286"/>
      <c r="AM394" s="286"/>
      <c r="AN394" s="286"/>
      <c r="AO394" s="286"/>
      <c r="AP394" s="286"/>
      <c r="AQ394" s="286"/>
      <c r="AR394" s="286"/>
      <c r="AS394" s="286"/>
      <c r="AT394" s="286"/>
      <c r="AU394" s="286"/>
      <c r="AV394" s="286"/>
      <c r="AW394" s="285"/>
      <c r="AX394" s="286"/>
      <c r="AY394" s="286"/>
      <c r="AZ394" s="286"/>
      <c r="BA394" s="286"/>
      <c r="BB394" s="286"/>
      <c r="BC394" s="286"/>
      <c r="BD394" s="286"/>
      <c r="BE394" s="285"/>
      <c r="BF394" s="286"/>
      <c r="BG394" s="286"/>
      <c r="BH394" s="286"/>
      <c r="BI394" s="286"/>
      <c r="BJ394" s="286"/>
      <c r="BK394" s="286"/>
      <c r="BL394" s="286"/>
      <c r="BM394" s="285"/>
      <c r="BN394" s="286"/>
      <c r="BO394" s="286"/>
      <c r="BP394" s="286"/>
      <c r="BQ394" s="286"/>
      <c r="BR394" s="286"/>
      <c r="BS394" s="286"/>
      <c r="BT394" s="286"/>
      <c r="BU394" s="285"/>
      <c r="BV394" s="286"/>
      <c r="BW394" s="286"/>
      <c r="BX394" s="286"/>
      <c r="BY394" s="286"/>
      <c r="BZ394" s="286"/>
      <c r="CA394" s="286"/>
      <c r="CB394" s="286"/>
      <c r="CC394" s="286"/>
      <c r="CD394" s="286"/>
      <c r="CE394" s="286"/>
      <c r="CF394" s="286"/>
      <c r="CG394" s="286"/>
      <c r="CH394" s="286"/>
      <c r="CI394" s="286"/>
      <c r="CJ394" s="286"/>
      <c r="CK394" s="286"/>
      <c r="CL394" s="286"/>
      <c r="CM394" s="286"/>
      <c r="CN394" s="286"/>
      <c r="CO394" s="286"/>
      <c r="CP394" s="286"/>
      <c r="CQ394" s="286"/>
      <c r="CR394" s="286"/>
      <c r="CS394" s="271"/>
      <c r="CT394" s="272"/>
      <c r="CU394" s="298"/>
      <c r="CV394" s="298"/>
      <c r="CW394" s="298"/>
      <c r="CX394" s="298"/>
      <c r="CY394" s="298"/>
      <c r="CZ394" s="299"/>
      <c r="DA394" s="274"/>
      <c r="DB394" s="275"/>
      <c r="DC394" s="275"/>
      <c r="DD394" s="275"/>
      <c r="DE394" s="275"/>
      <c r="DF394" s="275"/>
      <c r="DG394" s="275"/>
      <c r="DH394" s="275"/>
      <c r="DI394" s="276"/>
      <c r="DJ394" s="285"/>
      <c r="DK394" s="286"/>
      <c r="DL394" s="286"/>
      <c r="DM394" s="286"/>
      <c r="DN394" s="286"/>
      <c r="DO394" s="286"/>
      <c r="DP394" s="286"/>
      <c r="DQ394" s="286"/>
      <c r="DR394" s="286"/>
      <c r="DS394" s="286"/>
      <c r="DT394" s="287"/>
    </row>
    <row r="395" spans="1:125" ht="15" thickBot="1">
      <c r="A395" s="331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21"/>
      <c r="O395" s="322"/>
      <c r="P395" s="322"/>
      <c r="Q395" s="322"/>
      <c r="R395" s="322"/>
      <c r="S395" s="322"/>
      <c r="T395" s="322"/>
      <c r="U395" s="322"/>
      <c r="V395" s="297"/>
      <c r="W395" s="102"/>
      <c r="X395" s="102"/>
      <c r="Y395" s="102"/>
      <c r="Z395" s="102"/>
      <c r="AA395" s="103"/>
      <c r="AB395" s="312"/>
      <c r="AC395" s="313"/>
      <c r="AD395" s="313"/>
      <c r="AE395" s="313"/>
      <c r="AF395" s="313"/>
      <c r="AG395" s="321"/>
      <c r="AH395" s="322"/>
      <c r="AI395" s="322"/>
      <c r="AJ395" s="322"/>
      <c r="AK395" s="322"/>
      <c r="AL395" s="322"/>
      <c r="AM395" s="322"/>
      <c r="AN395" s="322"/>
      <c r="AO395" s="322"/>
      <c r="AP395" s="322"/>
      <c r="AQ395" s="322"/>
      <c r="AR395" s="322"/>
      <c r="AS395" s="322"/>
      <c r="AT395" s="322"/>
      <c r="AU395" s="322"/>
      <c r="AV395" s="322"/>
      <c r="AW395" s="322"/>
      <c r="AX395" s="322"/>
      <c r="AY395" s="322"/>
      <c r="AZ395" s="322"/>
      <c r="BA395" s="322"/>
      <c r="BB395" s="322"/>
      <c r="BC395" s="322"/>
      <c r="BD395" s="322"/>
      <c r="BE395" s="321"/>
      <c r="BF395" s="322"/>
      <c r="BG395" s="322"/>
      <c r="BH395" s="322"/>
      <c r="BI395" s="322"/>
      <c r="BJ395" s="322"/>
      <c r="BK395" s="322"/>
      <c r="BL395" s="322"/>
      <c r="BM395" s="322"/>
      <c r="BN395" s="322"/>
      <c r="BO395" s="322"/>
      <c r="BP395" s="322"/>
      <c r="BQ395" s="322"/>
      <c r="BR395" s="322"/>
      <c r="BS395" s="322"/>
      <c r="BT395" s="322"/>
      <c r="BU395" s="322"/>
      <c r="BV395" s="322"/>
      <c r="BW395" s="322"/>
      <c r="BX395" s="322"/>
      <c r="BY395" s="322"/>
      <c r="BZ395" s="322"/>
      <c r="CA395" s="322"/>
      <c r="CB395" s="322"/>
      <c r="CC395" s="322"/>
      <c r="CD395" s="322"/>
      <c r="CE395" s="322"/>
      <c r="CF395" s="322"/>
      <c r="CG395" s="322"/>
      <c r="CH395" s="322"/>
      <c r="CI395" s="322"/>
      <c r="CJ395" s="322"/>
      <c r="CK395" s="322"/>
      <c r="CL395" s="322"/>
      <c r="CM395" s="322"/>
      <c r="CN395" s="322"/>
      <c r="CO395" s="322"/>
      <c r="CP395" s="322"/>
      <c r="CQ395" s="322"/>
      <c r="CR395" s="322"/>
      <c r="CS395" s="271"/>
      <c r="CT395" s="272"/>
      <c r="CU395" s="298"/>
      <c r="CV395" s="298"/>
      <c r="CW395" s="298"/>
      <c r="CX395" s="298"/>
      <c r="CY395" s="298"/>
      <c r="CZ395" s="299"/>
      <c r="DA395" s="274"/>
      <c r="DB395" s="275"/>
      <c r="DC395" s="275"/>
      <c r="DD395" s="275"/>
      <c r="DE395" s="275"/>
      <c r="DF395" s="275"/>
      <c r="DG395" s="275"/>
      <c r="DH395" s="275"/>
      <c r="DI395" s="276"/>
      <c r="DJ395" s="285"/>
      <c r="DK395" s="286"/>
      <c r="DL395" s="286"/>
      <c r="DM395" s="286"/>
      <c r="DN395" s="286"/>
      <c r="DO395" s="286"/>
      <c r="DP395" s="286"/>
      <c r="DQ395" s="286"/>
      <c r="DR395" s="286"/>
      <c r="DS395" s="286"/>
      <c r="DT395" s="287"/>
    </row>
    <row r="396" spans="1:125" ht="21.6" thickBot="1">
      <c r="A396" s="3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323" t="s">
        <v>82</v>
      </c>
      <c r="Q396" s="323"/>
      <c r="R396" s="323"/>
      <c r="S396" s="323"/>
      <c r="T396" s="323"/>
      <c r="U396" s="323"/>
      <c r="V396" s="323"/>
      <c r="W396" s="323"/>
      <c r="X396" s="323"/>
      <c r="Y396" s="323"/>
      <c r="Z396" s="323"/>
      <c r="AA396" s="323"/>
      <c r="AB396" s="323"/>
      <c r="AC396" s="323"/>
      <c r="AD396" s="323"/>
      <c r="AE396" s="323"/>
      <c r="AF396" s="323"/>
      <c r="AG396" s="323"/>
      <c r="AH396" s="323"/>
      <c r="AI396" s="323"/>
      <c r="AJ396" s="323"/>
      <c r="AK396" s="323"/>
      <c r="AL396" s="323"/>
      <c r="AM396" s="323"/>
      <c r="AN396" s="323"/>
      <c r="AO396" s="323"/>
      <c r="AP396" s="323"/>
      <c r="AQ396" s="323"/>
      <c r="AR396" s="323"/>
      <c r="AS396" s="323"/>
      <c r="AT396" s="323"/>
      <c r="AU396" s="323"/>
      <c r="AV396" s="323"/>
      <c r="AW396" s="323"/>
      <c r="AX396" s="323"/>
      <c r="AY396" s="323"/>
      <c r="AZ396" s="323"/>
      <c r="BA396" s="323"/>
      <c r="BB396" s="323"/>
      <c r="BC396" s="323"/>
      <c r="BD396" s="323"/>
      <c r="BE396" s="323"/>
      <c r="BF396" s="323"/>
      <c r="BG396" s="323"/>
      <c r="BH396" s="323"/>
      <c r="BI396" s="323"/>
      <c r="BJ396" s="323"/>
      <c r="BK396" s="323"/>
      <c r="BL396" s="323"/>
      <c r="BM396" s="323"/>
      <c r="BN396" s="323"/>
      <c r="BO396" s="323"/>
      <c r="BP396" s="323"/>
      <c r="BQ396" s="323"/>
      <c r="BR396" s="323"/>
      <c r="BS396" s="323"/>
      <c r="BT396" s="323"/>
      <c r="BU396" s="323"/>
      <c r="BV396" s="323"/>
      <c r="BW396" s="323"/>
      <c r="BX396" s="323"/>
      <c r="BY396" s="323"/>
      <c r="BZ396" s="323"/>
      <c r="CA396" s="323"/>
      <c r="CB396" s="323"/>
      <c r="CC396" s="323"/>
      <c r="CD396" s="323"/>
      <c r="CE396" s="323"/>
      <c r="CF396" s="323"/>
      <c r="CG396" s="323"/>
      <c r="CH396" s="323"/>
      <c r="CI396" s="323"/>
      <c r="CJ396" s="323"/>
      <c r="CK396" s="323"/>
      <c r="CL396" s="323"/>
      <c r="CM396" s="323"/>
      <c r="CN396" s="323"/>
      <c r="CO396" s="323"/>
      <c r="CP396" s="323"/>
      <c r="CQ396" s="323"/>
      <c r="CR396" s="323"/>
      <c r="CS396" s="323"/>
      <c r="CT396" s="323"/>
      <c r="CU396" s="323"/>
      <c r="CV396" s="323"/>
      <c r="CW396" s="323"/>
      <c r="CX396" s="323"/>
      <c r="CY396" s="323"/>
      <c r="CZ396" s="14"/>
      <c r="DA396" s="327" t="s">
        <v>206</v>
      </c>
      <c r="DB396" s="328"/>
      <c r="DC396" s="450">
        <f>SUM(BM373:BT381)</f>
        <v>1606934.9430000002</v>
      </c>
      <c r="DD396" s="450"/>
      <c r="DE396" s="450"/>
      <c r="DF396" s="450"/>
      <c r="DG396" s="450"/>
      <c r="DH396" s="450"/>
      <c r="DI396" s="450"/>
      <c r="DJ396" s="450"/>
      <c r="DK396" s="450"/>
      <c r="DL396" s="450"/>
      <c r="DM396" s="450"/>
      <c r="DN396" s="450"/>
      <c r="DO396" s="450"/>
      <c r="DP396" s="450"/>
      <c r="DQ396" s="450"/>
      <c r="DR396" s="450"/>
      <c r="DS396" s="450"/>
      <c r="DT396" s="451"/>
      <c r="DU396" s="51">
        <f>+DC396</f>
        <v>1606934.9430000002</v>
      </c>
    </row>
    <row r="397" spans="1:125" ht="20.39999999999999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324" t="s">
        <v>83</v>
      </c>
      <c r="DK397" s="324"/>
      <c r="DL397" s="324"/>
      <c r="DM397" s="324"/>
      <c r="DN397" s="324"/>
      <c r="DO397" s="324"/>
      <c r="DP397" s="325" t="s">
        <v>401</v>
      </c>
      <c r="DQ397" s="326"/>
      <c r="DR397" s="326"/>
      <c r="DS397" s="326"/>
      <c r="DT397" s="1"/>
    </row>
  </sheetData>
  <mergeCells count="4567">
    <mergeCell ref="DC353:DI353"/>
    <mergeCell ref="DA354:DB354"/>
    <mergeCell ref="DC354:DI354"/>
    <mergeCell ref="DC344:DI344"/>
    <mergeCell ref="DA345:DB345"/>
    <mergeCell ref="DC345:DI345"/>
    <mergeCell ref="DA346:DB346"/>
    <mergeCell ref="DC346:DI346"/>
    <mergeCell ref="DA347:DB347"/>
    <mergeCell ref="DC347:DI347"/>
    <mergeCell ref="DA348:DB348"/>
    <mergeCell ref="DC348:DI348"/>
    <mergeCell ref="DC378:DI378"/>
    <mergeCell ref="DA379:DB379"/>
    <mergeCell ref="DC379:DI379"/>
    <mergeCell ref="DA380:DB380"/>
    <mergeCell ref="DC380:DI380"/>
    <mergeCell ref="DC372:DI372"/>
    <mergeCell ref="DA373:DB373"/>
    <mergeCell ref="DC373:DI373"/>
    <mergeCell ref="DA374:DB374"/>
    <mergeCell ref="DC374:DI374"/>
    <mergeCell ref="DA375:DB375"/>
    <mergeCell ref="DC375:DI375"/>
    <mergeCell ref="DA376:DB376"/>
    <mergeCell ref="DC376:DI376"/>
    <mergeCell ref="DC71:DI71"/>
    <mergeCell ref="DA72:DB72"/>
    <mergeCell ref="DC72:DI72"/>
    <mergeCell ref="DA73:DB73"/>
    <mergeCell ref="DC73:DI73"/>
    <mergeCell ref="DA74:DB74"/>
    <mergeCell ref="DC74:DI74"/>
    <mergeCell ref="DA75:DB75"/>
    <mergeCell ref="DC75:DI75"/>
    <mergeCell ref="DA63:DB63"/>
    <mergeCell ref="DC63:DI63"/>
    <mergeCell ref="DA64:DB64"/>
    <mergeCell ref="DC64:DI64"/>
    <mergeCell ref="DA65:DB65"/>
    <mergeCell ref="DC65:DI65"/>
    <mergeCell ref="DA66:DB66"/>
    <mergeCell ref="DC66:DI66"/>
    <mergeCell ref="DA67:DB67"/>
    <mergeCell ref="DC67:DI67"/>
    <mergeCell ref="DC69:DI69"/>
    <mergeCell ref="DA70:DB70"/>
    <mergeCell ref="DC70:DI70"/>
    <mergeCell ref="DJ397:DO397"/>
    <mergeCell ref="DP397:DS397"/>
    <mergeCell ref="DA50:DB50"/>
    <mergeCell ref="DC50:DI50"/>
    <mergeCell ref="DA51:DB51"/>
    <mergeCell ref="DC51:DI51"/>
    <mergeCell ref="DA52:DB52"/>
    <mergeCell ref="DC52:DI52"/>
    <mergeCell ref="DA53:DB53"/>
    <mergeCell ref="DC53:DI53"/>
    <mergeCell ref="DA54:DB54"/>
    <mergeCell ref="DC54:DI54"/>
    <mergeCell ref="DA55:DB55"/>
    <mergeCell ref="DC55:DI55"/>
    <mergeCell ref="DA56:DB56"/>
    <mergeCell ref="DC56:DI56"/>
    <mergeCell ref="DA57:DB57"/>
    <mergeCell ref="DC57:DI57"/>
    <mergeCell ref="DA58:DB58"/>
    <mergeCell ref="DC58:DI58"/>
    <mergeCell ref="DA59:DB59"/>
    <mergeCell ref="DC59:DI59"/>
    <mergeCell ref="DA60:DB60"/>
    <mergeCell ref="DC60:DI60"/>
    <mergeCell ref="A365:DT365"/>
    <mergeCell ref="A366:BA366"/>
    <mergeCell ref="A368:M368"/>
    <mergeCell ref="N368:U368"/>
    <mergeCell ref="V368:AA368"/>
    <mergeCell ref="AB368:AF368"/>
    <mergeCell ref="AG368:AV368"/>
    <mergeCell ref="AW368:CR368"/>
    <mergeCell ref="CC395:CJ395"/>
    <mergeCell ref="CK395:CR395"/>
    <mergeCell ref="CS395:CT395"/>
    <mergeCell ref="CU395:CZ395"/>
    <mergeCell ref="DJ395:DT395"/>
    <mergeCell ref="P396:CY396"/>
    <mergeCell ref="DA396:DB396"/>
    <mergeCell ref="DC396:DT396"/>
    <mergeCell ref="DA395:DB395"/>
    <mergeCell ref="DC395:DI395"/>
    <mergeCell ref="A395:M395"/>
    <mergeCell ref="N395:U395"/>
    <mergeCell ref="V395:AA395"/>
    <mergeCell ref="AB395:AF395"/>
    <mergeCell ref="AG395:AV395"/>
    <mergeCell ref="AW395:BD395"/>
    <mergeCell ref="BE395:BL395"/>
    <mergeCell ref="BM395:BT395"/>
    <mergeCell ref="BU395:CB395"/>
    <mergeCell ref="CC393:CJ393"/>
    <mergeCell ref="CK393:CR393"/>
    <mergeCell ref="CS393:CT393"/>
    <mergeCell ref="CU393:CZ393"/>
    <mergeCell ref="DJ393:DT393"/>
    <mergeCell ref="A394:M394"/>
    <mergeCell ref="N394:U394"/>
    <mergeCell ref="V394:AA394"/>
    <mergeCell ref="AB394:AF394"/>
    <mergeCell ref="AG394:AV394"/>
    <mergeCell ref="AW394:BD394"/>
    <mergeCell ref="BE394:BL394"/>
    <mergeCell ref="BM394:BT394"/>
    <mergeCell ref="BU394:CB394"/>
    <mergeCell ref="CC394:CJ394"/>
    <mergeCell ref="CK394:CR394"/>
    <mergeCell ref="CS394:CT394"/>
    <mergeCell ref="CU394:CZ394"/>
    <mergeCell ref="DJ394:DT394"/>
    <mergeCell ref="A393:M393"/>
    <mergeCell ref="N393:U393"/>
    <mergeCell ref="V393:AA393"/>
    <mergeCell ref="AB393:AF393"/>
    <mergeCell ref="AG393:AV393"/>
    <mergeCell ref="AW393:BD393"/>
    <mergeCell ref="BE393:BL393"/>
    <mergeCell ref="BM393:BT393"/>
    <mergeCell ref="BU393:CB393"/>
    <mergeCell ref="DA393:DB393"/>
    <mergeCell ref="DC393:DI393"/>
    <mergeCell ref="DA394:DB394"/>
    <mergeCell ref="DC394:DI394"/>
    <mergeCell ref="CC391:CJ391"/>
    <mergeCell ref="CK391:CR391"/>
    <mergeCell ref="CS391:CT391"/>
    <mergeCell ref="CU391:CZ391"/>
    <mergeCell ref="DJ391:DT391"/>
    <mergeCell ref="A392:M392"/>
    <mergeCell ref="N392:U392"/>
    <mergeCell ref="V392:AA392"/>
    <mergeCell ref="AB392:AF392"/>
    <mergeCell ref="AG392:AV392"/>
    <mergeCell ref="AW392:BD392"/>
    <mergeCell ref="BE392:BL392"/>
    <mergeCell ref="BM392:BT392"/>
    <mergeCell ref="BU392:CB392"/>
    <mergeCell ref="CC392:CJ392"/>
    <mergeCell ref="CK392:CR392"/>
    <mergeCell ref="CS392:CT392"/>
    <mergeCell ref="CU392:CZ392"/>
    <mergeCell ref="DJ392:DT392"/>
    <mergeCell ref="A391:M391"/>
    <mergeCell ref="N391:U391"/>
    <mergeCell ref="V391:AA391"/>
    <mergeCell ref="AB391:AF391"/>
    <mergeCell ref="AG391:AV391"/>
    <mergeCell ref="AW391:BD391"/>
    <mergeCell ref="BE391:BL391"/>
    <mergeCell ref="BM391:BT391"/>
    <mergeCell ref="BU391:CB391"/>
    <mergeCell ref="DA391:DB391"/>
    <mergeCell ref="DC391:DI391"/>
    <mergeCell ref="DA392:DB392"/>
    <mergeCell ref="DC392:DI392"/>
    <mergeCell ref="CC389:CJ389"/>
    <mergeCell ref="CK389:CR389"/>
    <mergeCell ref="CS389:CT389"/>
    <mergeCell ref="CU389:CZ389"/>
    <mergeCell ref="DJ389:DT389"/>
    <mergeCell ref="A390:M390"/>
    <mergeCell ref="N390:U390"/>
    <mergeCell ref="V390:AA390"/>
    <mergeCell ref="AB390:AF390"/>
    <mergeCell ref="AG390:AV390"/>
    <mergeCell ref="AW390:BD390"/>
    <mergeCell ref="BE390:BL390"/>
    <mergeCell ref="BM390:BT390"/>
    <mergeCell ref="BU390:CB390"/>
    <mergeCell ref="CC390:CJ390"/>
    <mergeCell ref="CK390:CR390"/>
    <mergeCell ref="CS390:CT390"/>
    <mergeCell ref="CU390:CZ390"/>
    <mergeCell ref="DJ390:DT390"/>
    <mergeCell ref="DA389:DB389"/>
    <mergeCell ref="DC389:DI389"/>
    <mergeCell ref="DA390:DB390"/>
    <mergeCell ref="A389:M389"/>
    <mergeCell ref="N389:U389"/>
    <mergeCell ref="V389:AA389"/>
    <mergeCell ref="AB389:AF389"/>
    <mergeCell ref="AG389:AV389"/>
    <mergeCell ref="AW389:BD389"/>
    <mergeCell ref="BE389:BL389"/>
    <mergeCell ref="BM389:BT389"/>
    <mergeCell ref="BU389:CB389"/>
    <mergeCell ref="DC390:DI390"/>
    <mergeCell ref="CC387:CJ387"/>
    <mergeCell ref="CK387:CR387"/>
    <mergeCell ref="CS387:CT387"/>
    <mergeCell ref="CU387:CZ387"/>
    <mergeCell ref="DJ387:DT387"/>
    <mergeCell ref="A388:M388"/>
    <mergeCell ref="N388:U388"/>
    <mergeCell ref="V388:AA388"/>
    <mergeCell ref="AB388:AF388"/>
    <mergeCell ref="AG388:AV388"/>
    <mergeCell ref="AW388:BD388"/>
    <mergeCell ref="BE388:BL388"/>
    <mergeCell ref="BM388:BT388"/>
    <mergeCell ref="BU388:CB388"/>
    <mergeCell ref="CC388:CJ388"/>
    <mergeCell ref="CK388:CR388"/>
    <mergeCell ref="CS388:CT388"/>
    <mergeCell ref="CU388:CZ388"/>
    <mergeCell ref="DJ388:DT388"/>
    <mergeCell ref="A387:M387"/>
    <mergeCell ref="N387:U387"/>
    <mergeCell ref="V387:AA387"/>
    <mergeCell ref="AB387:AF387"/>
    <mergeCell ref="AG387:AV387"/>
    <mergeCell ref="AW387:BD387"/>
    <mergeCell ref="BE387:BL387"/>
    <mergeCell ref="BM387:BT387"/>
    <mergeCell ref="BU387:CB387"/>
    <mergeCell ref="DA387:DB387"/>
    <mergeCell ref="DC387:DI387"/>
    <mergeCell ref="DA388:DB388"/>
    <mergeCell ref="DC388:DI388"/>
    <mergeCell ref="CC385:CJ385"/>
    <mergeCell ref="CK385:CR385"/>
    <mergeCell ref="CS385:CT385"/>
    <mergeCell ref="CU385:CZ385"/>
    <mergeCell ref="DJ385:DT385"/>
    <mergeCell ref="A386:M386"/>
    <mergeCell ref="N386:U386"/>
    <mergeCell ref="V386:AA386"/>
    <mergeCell ref="AB386:AF386"/>
    <mergeCell ref="AG386:AV386"/>
    <mergeCell ref="AW386:BD386"/>
    <mergeCell ref="BE386:BL386"/>
    <mergeCell ref="BM386:BT386"/>
    <mergeCell ref="BU386:CB386"/>
    <mergeCell ref="CC386:CJ386"/>
    <mergeCell ref="CK386:CR386"/>
    <mergeCell ref="CS386:CT386"/>
    <mergeCell ref="CU386:CZ386"/>
    <mergeCell ref="DJ386:DT386"/>
    <mergeCell ref="A385:M385"/>
    <mergeCell ref="N385:U385"/>
    <mergeCell ref="V385:AA385"/>
    <mergeCell ref="AB385:AF385"/>
    <mergeCell ref="AG385:AV385"/>
    <mergeCell ref="AW385:BD385"/>
    <mergeCell ref="BE385:BL385"/>
    <mergeCell ref="BM385:BT385"/>
    <mergeCell ref="BU385:CB385"/>
    <mergeCell ref="DA385:DB385"/>
    <mergeCell ref="DC385:DI385"/>
    <mergeCell ref="DA386:DB386"/>
    <mergeCell ref="DC386:DI386"/>
    <mergeCell ref="CC383:CJ383"/>
    <mergeCell ref="CK383:CR383"/>
    <mergeCell ref="CS383:CT383"/>
    <mergeCell ref="CU383:CZ383"/>
    <mergeCell ref="DJ383:DT383"/>
    <mergeCell ref="A384:M384"/>
    <mergeCell ref="N384:U384"/>
    <mergeCell ref="V384:AA384"/>
    <mergeCell ref="AB384:AF384"/>
    <mergeCell ref="AG384:AV384"/>
    <mergeCell ref="AW384:BD384"/>
    <mergeCell ref="BE384:BL384"/>
    <mergeCell ref="BM384:BT384"/>
    <mergeCell ref="BU384:CB384"/>
    <mergeCell ref="CC384:CJ384"/>
    <mergeCell ref="CK384:CR384"/>
    <mergeCell ref="CS384:CT384"/>
    <mergeCell ref="CU384:CZ384"/>
    <mergeCell ref="DJ384:DT384"/>
    <mergeCell ref="DA383:DB383"/>
    <mergeCell ref="DC383:DI383"/>
    <mergeCell ref="DA384:DB384"/>
    <mergeCell ref="A383:M383"/>
    <mergeCell ref="N383:U383"/>
    <mergeCell ref="V383:AA383"/>
    <mergeCell ref="AB383:AF383"/>
    <mergeCell ref="AG383:AV383"/>
    <mergeCell ref="AW383:BD383"/>
    <mergeCell ref="BE383:BL383"/>
    <mergeCell ref="BM383:BT383"/>
    <mergeCell ref="BU383:CB383"/>
    <mergeCell ref="DC384:DI384"/>
    <mergeCell ref="CC381:CJ381"/>
    <mergeCell ref="CK381:CR381"/>
    <mergeCell ref="CS381:CT381"/>
    <mergeCell ref="CU381:CZ381"/>
    <mergeCell ref="DJ381:DT381"/>
    <mergeCell ref="A382:M382"/>
    <mergeCell ref="N382:U382"/>
    <mergeCell ref="V382:AA382"/>
    <mergeCell ref="AB382:AF382"/>
    <mergeCell ref="AG382:AV382"/>
    <mergeCell ref="AW382:BD382"/>
    <mergeCell ref="BE382:BL382"/>
    <mergeCell ref="BM382:BT382"/>
    <mergeCell ref="BU382:CB382"/>
    <mergeCell ref="CC382:CJ382"/>
    <mergeCell ref="CK382:CR382"/>
    <mergeCell ref="CS382:CT382"/>
    <mergeCell ref="CU382:CZ382"/>
    <mergeCell ref="DJ382:DT382"/>
    <mergeCell ref="A381:M381"/>
    <mergeCell ref="N381:U381"/>
    <mergeCell ref="V381:AA381"/>
    <mergeCell ref="AB381:AF381"/>
    <mergeCell ref="AG381:AV381"/>
    <mergeCell ref="AW381:BD381"/>
    <mergeCell ref="BE381:BL381"/>
    <mergeCell ref="BM381:BT381"/>
    <mergeCell ref="BU381:CB381"/>
    <mergeCell ref="DA381:DB381"/>
    <mergeCell ref="DC381:DI381"/>
    <mergeCell ref="DA382:DB382"/>
    <mergeCell ref="DC382:DI382"/>
    <mergeCell ref="CC379:CJ379"/>
    <mergeCell ref="CK379:CR379"/>
    <mergeCell ref="CS379:CT379"/>
    <mergeCell ref="CU379:CZ379"/>
    <mergeCell ref="DJ379:DT379"/>
    <mergeCell ref="A380:M380"/>
    <mergeCell ref="N380:U380"/>
    <mergeCell ref="V380:AA380"/>
    <mergeCell ref="AB380:AF380"/>
    <mergeCell ref="AG380:AV380"/>
    <mergeCell ref="AW380:BD380"/>
    <mergeCell ref="BE380:BL380"/>
    <mergeCell ref="BM380:BT380"/>
    <mergeCell ref="BU380:CB380"/>
    <mergeCell ref="CC380:CJ380"/>
    <mergeCell ref="CK380:CR380"/>
    <mergeCell ref="CS380:CT380"/>
    <mergeCell ref="CU380:CZ380"/>
    <mergeCell ref="DJ380:DT380"/>
    <mergeCell ref="A379:M379"/>
    <mergeCell ref="N379:U379"/>
    <mergeCell ref="V379:AA379"/>
    <mergeCell ref="AB379:AF379"/>
    <mergeCell ref="AG379:AV379"/>
    <mergeCell ref="AW379:BD379"/>
    <mergeCell ref="BE379:BL379"/>
    <mergeCell ref="BM379:BT379"/>
    <mergeCell ref="BU379:CB379"/>
    <mergeCell ref="CC377:CJ377"/>
    <mergeCell ref="CK377:CR377"/>
    <mergeCell ref="CS377:CT377"/>
    <mergeCell ref="CU377:CZ377"/>
    <mergeCell ref="DJ377:DT377"/>
    <mergeCell ref="A378:M378"/>
    <mergeCell ref="N378:U378"/>
    <mergeCell ref="V378:AA378"/>
    <mergeCell ref="AB378:AF378"/>
    <mergeCell ref="AG378:AV378"/>
    <mergeCell ref="AW378:BD378"/>
    <mergeCell ref="BE378:BL378"/>
    <mergeCell ref="BM378:BT378"/>
    <mergeCell ref="BU378:CB378"/>
    <mergeCell ref="CC378:CJ378"/>
    <mergeCell ref="CK378:CR378"/>
    <mergeCell ref="CS378:CT378"/>
    <mergeCell ref="CU378:CZ378"/>
    <mergeCell ref="DJ378:DT378"/>
    <mergeCell ref="DA377:DB377"/>
    <mergeCell ref="DC377:DI377"/>
    <mergeCell ref="DA378:DB378"/>
    <mergeCell ref="A377:M377"/>
    <mergeCell ref="N377:U377"/>
    <mergeCell ref="V377:AA377"/>
    <mergeCell ref="AB377:AF377"/>
    <mergeCell ref="AG377:AV377"/>
    <mergeCell ref="AW377:BD377"/>
    <mergeCell ref="BE377:BL377"/>
    <mergeCell ref="BM377:BT377"/>
    <mergeCell ref="BU377:CB377"/>
    <mergeCell ref="CC375:CJ375"/>
    <mergeCell ref="CK375:CR375"/>
    <mergeCell ref="CS375:CT375"/>
    <mergeCell ref="CU375:CZ375"/>
    <mergeCell ref="DJ375:DT375"/>
    <mergeCell ref="A376:M376"/>
    <mergeCell ref="N376:U376"/>
    <mergeCell ref="V376:AA376"/>
    <mergeCell ref="AB376:AF376"/>
    <mergeCell ref="AG376:AV376"/>
    <mergeCell ref="AW376:BD376"/>
    <mergeCell ref="BE376:BL376"/>
    <mergeCell ref="BM376:BT376"/>
    <mergeCell ref="BU376:CB376"/>
    <mergeCell ref="CC376:CJ376"/>
    <mergeCell ref="CK376:CR376"/>
    <mergeCell ref="CS376:CT376"/>
    <mergeCell ref="CU376:CZ376"/>
    <mergeCell ref="DJ376:DT376"/>
    <mergeCell ref="A375:M375"/>
    <mergeCell ref="N375:U375"/>
    <mergeCell ref="V375:AA375"/>
    <mergeCell ref="AB375:AF375"/>
    <mergeCell ref="AG375:AV375"/>
    <mergeCell ref="AW375:BD375"/>
    <mergeCell ref="BE375:BL375"/>
    <mergeCell ref="BM375:BT375"/>
    <mergeCell ref="BU375:CB375"/>
    <mergeCell ref="CC373:CJ373"/>
    <mergeCell ref="CK373:CR373"/>
    <mergeCell ref="CS373:CT373"/>
    <mergeCell ref="CU373:CZ373"/>
    <mergeCell ref="DJ373:DT373"/>
    <mergeCell ref="A374:M374"/>
    <mergeCell ref="N374:U374"/>
    <mergeCell ref="V374:AA374"/>
    <mergeCell ref="AB374:AF374"/>
    <mergeCell ref="AG374:AV374"/>
    <mergeCell ref="AW374:BD374"/>
    <mergeCell ref="BE374:BL374"/>
    <mergeCell ref="BM374:BT374"/>
    <mergeCell ref="BU374:CB374"/>
    <mergeCell ref="CC374:CJ374"/>
    <mergeCell ref="CK374:CR374"/>
    <mergeCell ref="CS374:CT374"/>
    <mergeCell ref="CU374:CZ374"/>
    <mergeCell ref="DJ374:DT374"/>
    <mergeCell ref="A373:M373"/>
    <mergeCell ref="N373:U373"/>
    <mergeCell ref="V373:AA373"/>
    <mergeCell ref="AB373:AF373"/>
    <mergeCell ref="AG373:AV373"/>
    <mergeCell ref="AW373:BD373"/>
    <mergeCell ref="BE373:BL373"/>
    <mergeCell ref="BM373:BT373"/>
    <mergeCell ref="BU373:CB373"/>
    <mergeCell ref="CC371:CJ371"/>
    <mergeCell ref="CK371:CR371"/>
    <mergeCell ref="CS371:CT371"/>
    <mergeCell ref="CU371:CZ371"/>
    <mergeCell ref="DJ371:DT371"/>
    <mergeCell ref="A372:M372"/>
    <mergeCell ref="N372:U372"/>
    <mergeCell ref="V372:AA372"/>
    <mergeCell ref="AB372:AF372"/>
    <mergeCell ref="AG372:AV372"/>
    <mergeCell ref="BM372:BT372"/>
    <mergeCell ref="BU372:CB372"/>
    <mergeCell ref="CC372:CJ372"/>
    <mergeCell ref="CK372:CR372"/>
    <mergeCell ref="CS372:CT372"/>
    <mergeCell ref="CU372:CZ372"/>
    <mergeCell ref="DJ372:DT372"/>
    <mergeCell ref="DA371:DB371"/>
    <mergeCell ref="DC371:DI371"/>
    <mergeCell ref="DA372:DB372"/>
    <mergeCell ref="A371:M371"/>
    <mergeCell ref="N371:U371"/>
    <mergeCell ref="V371:AA371"/>
    <mergeCell ref="AB371:AF371"/>
    <mergeCell ref="AG371:AV371"/>
    <mergeCell ref="BM371:BT371"/>
    <mergeCell ref="BU371:CB371"/>
    <mergeCell ref="AW371:BL372"/>
    <mergeCell ref="CC369:CJ369"/>
    <mergeCell ref="CK369:CR369"/>
    <mergeCell ref="CS369:CZ369"/>
    <mergeCell ref="DA369:DI369"/>
    <mergeCell ref="DJ369:DT369"/>
    <mergeCell ref="A370:M370"/>
    <mergeCell ref="N370:U370"/>
    <mergeCell ref="V370:AA370"/>
    <mergeCell ref="AB370:AF370"/>
    <mergeCell ref="AG370:AV370"/>
    <mergeCell ref="AW370:BD370"/>
    <mergeCell ref="BE370:BL370"/>
    <mergeCell ref="BM370:BT370"/>
    <mergeCell ref="BU370:CB370"/>
    <mergeCell ref="CC370:CJ370"/>
    <mergeCell ref="CK370:CR370"/>
    <mergeCell ref="CS370:CT370"/>
    <mergeCell ref="CU370:CZ370"/>
    <mergeCell ref="DJ370:DT370"/>
    <mergeCell ref="DA370:DB370"/>
    <mergeCell ref="DC370:DI370"/>
    <mergeCell ref="A369:M369"/>
    <mergeCell ref="N369:U369"/>
    <mergeCell ref="V369:AA369"/>
    <mergeCell ref="AB369:AF369"/>
    <mergeCell ref="AG369:AV369"/>
    <mergeCell ref="AW369:BD369"/>
    <mergeCell ref="BE369:BL369"/>
    <mergeCell ref="BM369:BT369"/>
    <mergeCell ref="BU369:CB369"/>
    <mergeCell ref="CS368:CZ368"/>
    <mergeCell ref="DA368:DI368"/>
    <mergeCell ref="DJ368:DT368"/>
    <mergeCell ref="DJ357:DO357"/>
    <mergeCell ref="DP357:DS357"/>
    <mergeCell ref="A362:X362"/>
    <mergeCell ref="A363:E363"/>
    <mergeCell ref="G363:AE363"/>
    <mergeCell ref="AF363:AK363"/>
    <mergeCell ref="AM363:BG363"/>
    <mergeCell ref="BU363:BY363"/>
    <mergeCell ref="CA363:CI363"/>
    <mergeCell ref="CJ363:CN363"/>
    <mergeCell ref="CP363:CX363"/>
    <mergeCell ref="DG363:DK363"/>
    <mergeCell ref="DM363:DT363"/>
    <mergeCell ref="CC355:CJ355"/>
    <mergeCell ref="CK355:CR355"/>
    <mergeCell ref="CS355:CT355"/>
    <mergeCell ref="CU355:CZ355"/>
    <mergeCell ref="DJ355:DT355"/>
    <mergeCell ref="P356:CY356"/>
    <mergeCell ref="DA356:DB356"/>
    <mergeCell ref="DC356:DT356"/>
    <mergeCell ref="DA355:DB355"/>
    <mergeCell ref="DC355:DI355"/>
    <mergeCell ref="A355:M355"/>
    <mergeCell ref="N355:U355"/>
    <mergeCell ref="V355:AA355"/>
    <mergeCell ref="AB355:AF355"/>
    <mergeCell ref="AG355:AV355"/>
    <mergeCell ref="AW355:BD355"/>
    <mergeCell ref="BE355:BL355"/>
    <mergeCell ref="BM355:BT355"/>
    <mergeCell ref="BU355:CB355"/>
    <mergeCell ref="CC353:CJ353"/>
    <mergeCell ref="CK353:CR353"/>
    <mergeCell ref="CS353:CT353"/>
    <mergeCell ref="CU353:CZ353"/>
    <mergeCell ref="DJ353:DT353"/>
    <mergeCell ref="A354:M354"/>
    <mergeCell ref="N354:U354"/>
    <mergeCell ref="V354:AA354"/>
    <mergeCell ref="AB354:AF354"/>
    <mergeCell ref="AG354:AV354"/>
    <mergeCell ref="AW354:BD354"/>
    <mergeCell ref="BE354:BL354"/>
    <mergeCell ref="BM354:BT354"/>
    <mergeCell ref="BU354:CB354"/>
    <mergeCell ref="CC354:CJ354"/>
    <mergeCell ref="CK354:CR354"/>
    <mergeCell ref="CS354:CT354"/>
    <mergeCell ref="CU354:CZ354"/>
    <mergeCell ref="DJ354:DT354"/>
    <mergeCell ref="A353:M353"/>
    <mergeCell ref="N353:U353"/>
    <mergeCell ref="V353:AA353"/>
    <mergeCell ref="AB353:AF353"/>
    <mergeCell ref="AG353:AV353"/>
    <mergeCell ref="AW353:BD353"/>
    <mergeCell ref="BE353:BL353"/>
    <mergeCell ref="BM353:BT353"/>
    <mergeCell ref="BU353:CB353"/>
    <mergeCell ref="DA353:DB353"/>
    <mergeCell ref="CC351:CJ351"/>
    <mergeCell ref="CK351:CR351"/>
    <mergeCell ref="CS351:CT351"/>
    <mergeCell ref="CU351:CZ351"/>
    <mergeCell ref="DJ351:DT351"/>
    <mergeCell ref="A352:M352"/>
    <mergeCell ref="N352:U352"/>
    <mergeCell ref="V352:AA352"/>
    <mergeCell ref="AB352:AF352"/>
    <mergeCell ref="AG352:AV352"/>
    <mergeCell ref="AW352:BD352"/>
    <mergeCell ref="BE352:BL352"/>
    <mergeCell ref="BM352:BT352"/>
    <mergeCell ref="BU352:CB352"/>
    <mergeCell ref="CC352:CJ352"/>
    <mergeCell ref="CK352:CR352"/>
    <mergeCell ref="CS352:CT352"/>
    <mergeCell ref="CU352:CZ352"/>
    <mergeCell ref="DJ352:DT352"/>
    <mergeCell ref="A351:M351"/>
    <mergeCell ref="N351:U351"/>
    <mergeCell ref="V351:AA351"/>
    <mergeCell ref="AB351:AF351"/>
    <mergeCell ref="AG351:AV351"/>
    <mergeCell ref="AW351:BD351"/>
    <mergeCell ref="BE351:BL351"/>
    <mergeCell ref="BM351:BT351"/>
    <mergeCell ref="BU351:CB351"/>
    <mergeCell ref="DA351:DB351"/>
    <mergeCell ref="DC351:DI351"/>
    <mergeCell ref="DA352:DB352"/>
    <mergeCell ref="DC352:DI352"/>
    <mergeCell ref="CC349:CJ349"/>
    <mergeCell ref="CK349:CR349"/>
    <mergeCell ref="CS349:CT349"/>
    <mergeCell ref="CU349:CZ349"/>
    <mergeCell ref="DJ349:DT349"/>
    <mergeCell ref="A350:M350"/>
    <mergeCell ref="N350:U350"/>
    <mergeCell ref="V350:AA350"/>
    <mergeCell ref="AB350:AF350"/>
    <mergeCell ref="AG350:AV350"/>
    <mergeCell ref="AW350:BD350"/>
    <mergeCell ref="BE350:BL350"/>
    <mergeCell ref="BM350:BT350"/>
    <mergeCell ref="BU350:CB350"/>
    <mergeCell ref="CC350:CJ350"/>
    <mergeCell ref="CK350:CR350"/>
    <mergeCell ref="CS350:CT350"/>
    <mergeCell ref="CU350:CZ350"/>
    <mergeCell ref="DJ350:DT350"/>
    <mergeCell ref="DA349:DB349"/>
    <mergeCell ref="DC349:DI349"/>
    <mergeCell ref="DA350:DB350"/>
    <mergeCell ref="A349:M349"/>
    <mergeCell ref="N349:U349"/>
    <mergeCell ref="V349:AA349"/>
    <mergeCell ref="AB349:AF349"/>
    <mergeCell ref="AG349:AV349"/>
    <mergeCell ref="AW349:BD349"/>
    <mergeCell ref="BE349:BL349"/>
    <mergeCell ref="BM349:BT349"/>
    <mergeCell ref="BU349:CB349"/>
    <mergeCell ref="DC350:DI350"/>
    <mergeCell ref="CC347:CJ347"/>
    <mergeCell ref="CK347:CR347"/>
    <mergeCell ref="CS347:CT347"/>
    <mergeCell ref="CU347:CZ347"/>
    <mergeCell ref="DJ347:DT347"/>
    <mergeCell ref="A348:M348"/>
    <mergeCell ref="N348:U348"/>
    <mergeCell ref="V348:AA348"/>
    <mergeCell ref="AB348:AF348"/>
    <mergeCell ref="AG348:AV348"/>
    <mergeCell ref="AW348:BD348"/>
    <mergeCell ref="BE348:BL348"/>
    <mergeCell ref="BM348:BT348"/>
    <mergeCell ref="BU348:CB348"/>
    <mergeCell ref="CC348:CJ348"/>
    <mergeCell ref="CK348:CR348"/>
    <mergeCell ref="CS348:CT348"/>
    <mergeCell ref="CU348:CZ348"/>
    <mergeCell ref="DJ348:DT348"/>
    <mergeCell ref="A347:M347"/>
    <mergeCell ref="N347:U347"/>
    <mergeCell ref="V347:AA347"/>
    <mergeCell ref="AB347:AF347"/>
    <mergeCell ref="AG347:AV347"/>
    <mergeCell ref="AW347:BD347"/>
    <mergeCell ref="BE347:BL347"/>
    <mergeCell ref="BM347:BT347"/>
    <mergeCell ref="BU347:CB347"/>
    <mergeCell ref="CC345:CJ345"/>
    <mergeCell ref="CK345:CR345"/>
    <mergeCell ref="CS345:CT345"/>
    <mergeCell ref="CU345:CZ345"/>
    <mergeCell ref="DJ345:DT345"/>
    <mergeCell ref="A346:M346"/>
    <mergeCell ref="N346:U346"/>
    <mergeCell ref="V346:AA346"/>
    <mergeCell ref="AB346:AF346"/>
    <mergeCell ref="AG346:AV346"/>
    <mergeCell ref="AW346:BD346"/>
    <mergeCell ref="BE346:BL346"/>
    <mergeCell ref="BM346:BT346"/>
    <mergeCell ref="BU346:CB346"/>
    <mergeCell ref="CC346:CJ346"/>
    <mergeCell ref="CK346:CR346"/>
    <mergeCell ref="CS346:CT346"/>
    <mergeCell ref="CU346:CZ346"/>
    <mergeCell ref="DJ346:DT346"/>
    <mergeCell ref="A345:M345"/>
    <mergeCell ref="N345:U345"/>
    <mergeCell ref="V345:AA345"/>
    <mergeCell ref="AB345:AF345"/>
    <mergeCell ref="AG345:AV345"/>
    <mergeCell ref="AW345:BD345"/>
    <mergeCell ref="BE345:BL345"/>
    <mergeCell ref="BM345:BT345"/>
    <mergeCell ref="BU345:CB345"/>
    <mergeCell ref="CC343:CJ343"/>
    <mergeCell ref="CK343:CR343"/>
    <mergeCell ref="CS343:CT343"/>
    <mergeCell ref="CU343:CZ343"/>
    <mergeCell ref="DJ343:DT343"/>
    <mergeCell ref="A344:M344"/>
    <mergeCell ref="N344:U344"/>
    <mergeCell ref="V344:AA344"/>
    <mergeCell ref="AB344:AF344"/>
    <mergeCell ref="AG344:AV344"/>
    <mergeCell ref="AW344:BD344"/>
    <mergeCell ref="BE344:BL344"/>
    <mergeCell ref="BM344:BT344"/>
    <mergeCell ref="BU344:CB344"/>
    <mergeCell ref="CC344:CJ344"/>
    <mergeCell ref="CK344:CR344"/>
    <mergeCell ref="CS344:CT344"/>
    <mergeCell ref="CU344:CZ344"/>
    <mergeCell ref="DJ344:DT344"/>
    <mergeCell ref="DA343:DB343"/>
    <mergeCell ref="DC343:DI343"/>
    <mergeCell ref="DA344:DB344"/>
    <mergeCell ref="A343:M343"/>
    <mergeCell ref="N343:U343"/>
    <mergeCell ref="V343:AA343"/>
    <mergeCell ref="AB343:AF343"/>
    <mergeCell ref="AG343:AV343"/>
    <mergeCell ref="AW343:BD343"/>
    <mergeCell ref="BE343:BL343"/>
    <mergeCell ref="BM343:BT343"/>
    <mergeCell ref="BU343:CB343"/>
    <mergeCell ref="CC341:CJ341"/>
    <mergeCell ref="CK341:CR341"/>
    <mergeCell ref="CS341:CT341"/>
    <mergeCell ref="CU341:CZ341"/>
    <mergeCell ref="DJ341:DT341"/>
    <mergeCell ref="A342:M342"/>
    <mergeCell ref="N342:U342"/>
    <mergeCell ref="V342:AA342"/>
    <mergeCell ref="AB342:AF342"/>
    <mergeCell ref="AG342:AV342"/>
    <mergeCell ref="AW342:BD342"/>
    <mergeCell ref="BE342:BL342"/>
    <mergeCell ref="BM342:BT342"/>
    <mergeCell ref="BU342:CB342"/>
    <mergeCell ref="CC342:CJ342"/>
    <mergeCell ref="CK342:CR342"/>
    <mergeCell ref="CS342:CT342"/>
    <mergeCell ref="CU342:CZ342"/>
    <mergeCell ref="DJ342:DT342"/>
    <mergeCell ref="A341:M341"/>
    <mergeCell ref="N341:U341"/>
    <mergeCell ref="V341:AA341"/>
    <mergeCell ref="AB341:AF341"/>
    <mergeCell ref="AG341:AV341"/>
    <mergeCell ref="AW341:BD341"/>
    <mergeCell ref="BE341:BL341"/>
    <mergeCell ref="BM341:BT341"/>
    <mergeCell ref="BU341:CB341"/>
    <mergeCell ref="DA341:DB341"/>
    <mergeCell ref="DC341:DI341"/>
    <mergeCell ref="DA342:DB342"/>
    <mergeCell ref="DC342:DI342"/>
    <mergeCell ref="CC339:CJ339"/>
    <mergeCell ref="CK339:CR339"/>
    <mergeCell ref="CS339:CT339"/>
    <mergeCell ref="CU339:CZ339"/>
    <mergeCell ref="DJ339:DT339"/>
    <mergeCell ref="A340:M340"/>
    <mergeCell ref="N340:U340"/>
    <mergeCell ref="V340:AA340"/>
    <mergeCell ref="AB340:AF340"/>
    <mergeCell ref="AG340:AV340"/>
    <mergeCell ref="AW340:BD340"/>
    <mergeCell ref="BE340:BL340"/>
    <mergeCell ref="BM340:BT340"/>
    <mergeCell ref="BU340:CB340"/>
    <mergeCell ref="CC340:CJ340"/>
    <mergeCell ref="CK340:CR340"/>
    <mergeCell ref="CS340:CT340"/>
    <mergeCell ref="CU340:CZ340"/>
    <mergeCell ref="DJ340:DT340"/>
    <mergeCell ref="A339:M339"/>
    <mergeCell ref="N339:U339"/>
    <mergeCell ref="V339:AA339"/>
    <mergeCell ref="AB339:AF339"/>
    <mergeCell ref="AG339:AV339"/>
    <mergeCell ref="AW339:BD339"/>
    <mergeCell ref="BE339:BL339"/>
    <mergeCell ref="BM339:BT339"/>
    <mergeCell ref="BU339:CB339"/>
    <mergeCell ref="DA339:DB339"/>
    <mergeCell ref="DC339:DI339"/>
    <mergeCell ref="DA340:DB340"/>
    <mergeCell ref="DC340:DI340"/>
    <mergeCell ref="CC337:CJ337"/>
    <mergeCell ref="CK337:CR337"/>
    <mergeCell ref="CS337:CT337"/>
    <mergeCell ref="CU337:CZ337"/>
    <mergeCell ref="DJ337:DT337"/>
    <mergeCell ref="A338:M338"/>
    <mergeCell ref="N338:U338"/>
    <mergeCell ref="V338:AA338"/>
    <mergeCell ref="AB338:AF338"/>
    <mergeCell ref="AG338:AV338"/>
    <mergeCell ref="AW338:BD338"/>
    <mergeCell ref="BE338:BL338"/>
    <mergeCell ref="BM338:BT338"/>
    <mergeCell ref="BU338:CB338"/>
    <mergeCell ref="CC338:CJ338"/>
    <mergeCell ref="CK338:CR338"/>
    <mergeCell ref="CS338:CT338"/>
    <mergeCell ref="CU338:CZ338"/>
    <mergeCell ref="DJ338:DT338"/>
    <mergeCell ref="DA337:DB337"/>
    <mergeCell ref="DC337:DI337"/>
    <mergeCell ref="DA338:DB338"/>
    <mergeCell ref="A337:M337"/>
    <mergeCell ref="N337:U337"/>
    <mergeCell ref="V337:AA337"/>
    <mergeCell ref="AB337:AF337"/>
    <mergeCell ref="AG337:AV337"/>
    <mergeCell ref="AW337:BD337"/>
    <mergeCell ref="BE337:BL337"/>
    <mergeCell ref="BM337:BT337"/>
    <mergeCell ref="BU337:CB337"/>
    <mergeCell ref="DC338:DI338"/>
    <mergeCell ref="CC335:CJ335"/>
    <mergeCell ref="CK335:CR335"/>
    <mergeCell ref="CS335:CT335"/>
    <mergeCell ref="CU335:CZ335"/>
    <mergeCell ref="DJ335:DT335"/>
    <mergeCell ref="A336:M336"/>
    <mergeCell ref="N336:U336"/>
    <mergeCell ref="V336:AA336"/>
    <mergeCell ref="AB336:AF336"/>
    <mergeCell ref="AG336:AV336"/>
    <mergeCell ref="AW336:BD336"/>
    <mergeCell ref="BE336:BL336"/>
    <mergeCell ref="BM336:BT336"/>
    <mergeCell ref="BU336:CB336"/>
    <mergeCell ref="CC336:CJ336"/>
    <mergeCell ref="CK336:CR336"/>
    <mergeCell ref="CS336:CT336"/>
    <mergeCell ref="CU336:CZ336"/>
    <mergeCell ref="DJ336:DT336"/>
    <mergeCell ref="A335:M335"/>
    <mergeCell ref="N335:U335"/>
    <mergeCell ref="V335:AA335"/>
    <mergeCell ref="AB335:AF335"/>
    <mergeCell ref="AG335:AV335"/>
    <mergeCell ref="AW335:BD335"/>
    <mergeCell ref="BE335:BL335"/>
    <mergeCell ref="BM335:BT335"/>
    <mergeCell ref="BU335:CB335"/>
    <mergeCell ref="DA335:DB335"/>
    <mergeCell ref="DC335:DI335"/>
    <mergeCell ref="DA336:DB336"/>
    <mergeCell ref="DC336:DI336"/>
    <mergeCell ref="CC333:CJ333"/>
    <mergeCell ref="CK333:CR333"/>
    <mergeCell ref="CS333:CT333"/>
    <mergeCell ref="CU333:CZ333"/>
    <mergeCell ref="DJ333:DT333"/>
    <mergeCell ref="A334:M334"/>
    <mergeCell ref="N334:U334"/>
    <mergeCell ref="V334:AA334"/>
    <mergeCell ref="AB334:AF334"/>
    <mergeCell ref="AG334:AV334"/>
    <mergeCell ref="AW334:BD334"/>
    <mergeCell ref="BE334:BL334"/>
    <mergeCell ref="BM334:BT334"/>
    <mergeCell ref="BU334:CB334"/>
    <mergeCell ref="CC334:CJ334"/>
    <mergeCell ref="CK334:CR334"/>
    <mergeCell ref="CS334:CT334"/>
    <mergeCell ref="CU334:CZ334"/>
    <mergeCell ref="DJ334:DT334"/>
    <mergeCell ref="A333:M333"/>
    <mergeCell ref="N333:U333"/>
    <mergeCell ref="V333:AA333"/>
    <mergeCell ref="AB333:AF333"/>
    <mergeCell ref="AG333:AV333"/>
    <mergeCell ref="AW333:BD333"/>
    <mergeCell ref="BE333:BL333"/>
    <mergeCell ref="BM333:BT333"/>
    <mergeCell ref="BU333:CB333"/>
    <mergeCell ref="DA333:DB333"/>
    <mergeCell ref="DC333:DI333"/>
    <mergeCell ref="DA334:DB334"/>
    <mergeCell ref="DC334:DI334"/>
    <mergeCell ref="CC331:CJ331"/>
    <mergeCell ref="CK331:CR331"/>
    <mergeCell ref="CS331:CT331"/>
    <mergeCell ref="CU331:CZ331"/>
    <mergeCell ref="DJ331:DT331"/>
    <mergeCell ref="A332:M332"/>
    <mergeCell ref="N332:U332"/>
    <mergeCell ref="V332:AA332"/>
    <mergeCell ref="AB332:AF332"/>
    <mergeCell ref="AG332:AV332"/>
    <mergeCell ref="AW332:BD332"/>
    <mergeCell ref="BE332:BL332"/>
    <mergeCell ref="BM332:BT332"/>
    <mergeCell ref="BU332:CB332"/>
    <mergeCell ref="CC332:CJ332"/>
    <mergeCell ref="CK332:CR332"/>
    <mergeCell ref="CS332:CT332"/>
    <mergeCell ref="CU332:CZ332"/>
    <mergeCell ref="DJ332:DT332"/>
    <mergeCell ref="DA331:DB331"/>
    <mergeCell ref="DC331:DI331"/>
    <mergeCell ref="DA332:DB332"/>
    <mergeCell ref="A331:M331"/>
    <mergeCell ref="N331:U331"/>
    <mergeCell ref="V331:AA331"/>
    <mergeCell ref="AB331:AF331"/>
    <mergeCell ref="AG331:AV331"/>
    <mergeCell ref="AW331:BD331"/>
    <mergeCell ref="BE331:BL331"/>
    <mergeCell ref="BM331:BT331"/>
    <mergeCell ref="BU331:CB331"/>
    <mergeCell ref="DC332:DI332"/>
    <mergeCell ref="CC329:CJ329"/>
    <mergeCell ref="CK329:CR329"/>
    <mergeCell ref="CS329:CZ329"/>
    <mergeCell ref="DA329:DI329"/>
    <mergeCell ref="DJ329:DT329"/>
    <mergeCell ref="A330:M330"/>
    <mergeCell ref="N330:U330"/>
    <mergeCell ref="V330:AA330"/>
    <mergeCell ref="AB330:AF330"/>
    <mergeCell ref="AG330:AV330"/>
    <mergeCell ref="AW330:BD330"/>
    <mergeCell ref="BE330:BL330"/>
    <mergeCell ref="BM330:BT330"/>
    <mergeCell ref="BU330:CB330"/>
    <mergeCell ref="CC330:CJ330"/>
    <mergeCell ref="CK330:CR330"/>
    <mergeCell ref="CS330:CT330"/>
    <mergeCell ref="CU330:CZ330"/>
    <mergeCell ref="DJ330:DT330"/>
    <mergeCell ref="DA330:DB330"/>
    <mergeCell ref="DC330:DI330"/>
    <mergeCell ref="A329:M329"/>
    <mergeCell ref="N329:U329"/>
    <mergeCell ref="V329:AA329"/>
    <mergeCell ref="AB329:AF329"/>
    <mergeCell ref="AG329:AV329"/>
    <mergeCell ref="AW329:BD329"/>
    <mergeCell ref="BE329:BL329"/>
    <mergeCell ref="BM329:BT329"/>
    <mergeCell ref="BU329:CB329"/>
    <mergeCell ref="A325:DT325"/>
    <mergeCell ref="A326:BA326"/>
    <mergeCell ref="A328:M328"/>
    <mergeCell ref="N328:U328"/>
    <mergeCell ref="V328:AA328"/>
    <mergeCell ref="AB328:AF328"/>
    <mergeCell ref="AG328:AV328"/>
    <mergeCell ref="AW328:CR328"/>
    <mergeCell ref="CS328:CZ328"/>
    <mergeCell ref="DA328:DI328"/>
    <mergeCell ref="DJ328:DT328"/>
    <mergeCell ref="DJ317:DO317"/>
    <mergeCell ref="DP317:DS317"/>
    <mergeCell ref="A322:X322"/>
    <mergeCell ref="A323:E323"/>
    <mergeCell ref="G323:AE323"/>
    <mergeCell ref="AF323:AK323"/>
    <mergeCell ref="AM323:BG323"/>
    <mergeCell ref="BU323:BY323"/>
    <mergeCell ref="CA323:CI323"/>
    <mergeCell ref="CJ323:CN323"/>
    <mergeCell ref="CP323:CX323"/>
    <mergeCell ref="DG323:DK323"/>
    <mergeCell ref="DM323:DT323"/>
    <mergeCell ref="CC315:CJ315"/>
    <mergeCell ref="CK315:CR315"/>
    <mergeCell ref="CS315:CT315"/>
    <mergeCell ref="CU315:CZ315"/>
    <mergeCell ref="DJ315:DT315"/>
    <mergeCell ref="P316:CY316"/>
    <mergeCell ref="DA316:DB316"/>
    <mergeCell ref="DC316:DT316"/>
    <mergeCell ref="DA315:DB315"/>
    <mergeCell ref="DC315:DI315"/>
    <mergeCell ref="A315:M315"/>
    <mergeCell ref="N315:U315"/>
    <mergeCell ref="V315:AA315"/>
    <mergeCell ref="AB315:AF315"/>
    <mergeCell ref="AG315:AV315"/>
    <mergeCell ref="AW315:BD315"/>
    <mergeCell ref="BE315:BL315"/>
    <mergeCell ref="BM315:BT315"/>
    <mergeCell ref="BU315:CB315"/>
    <mergeCell ref="CC313:CJ313"/>
    <mergeCell ref="CK313:CR313"/>
    <mergeCell ref="CS313:CT313"/>
    <mergeCell ref="CU313:CZ313"/>
    <mergeCell ref="DJ313:DT313"/>
    <mergeCell ref="A314:M314"/>
    <mergeCell ref="N314:U314"/>
    <mergeCell ref="V314:AA314"/>
    <mergeCell ref="AB314:AF314"/>
    <mergeCell ref="AG314:AV314"/>
    <mergeCell ref="AW314:BD314"/>
    <mergeCell ref="BE314:BL314"/>
    <mergeCell ref="BM314:BT314"/>
    <mergeCell ref="BU314:CB314"/>
    <mergeCell ref="CC314:CJ314"/>
    <mergeCell ref="CK314:CR314"/>
    <mergeCell ref="CS314:CT314"/>
    <mergeCell ref="CU314:CZ314"/>
    <mergeCell ref="DJ314:DT314"/>
    <mergeCell ref="A313:M313"/>
    <mergeCell ref="N313:U313"/>
    <mergeCell ref="V313:AA313"/>
    <mergeCell ref="AB313:AF313"/>
    <mergeCell ref="AG313:AV313"/>
    <mergeCell ref="AW313:BD313"/>
    <mergeCell ref="BE313:BL313"/>
    <mergeCell ref="BM313:BT313"/>
    <mergeCell ref="BU313:CB313"/>
    <mergeCell ref="DA313:DB313"/>
    <mergeCell ref="DC313:DI313"/>
    <mergeCell ref="DA314:DB314"/>
    <mergeCell ref="DC314:DI314"/>
    <mergeCell ref="CC311:CJ311"/>
    <mergeCell ref="CK311:CR311"/>
    <mergeCell ref="CS311:CT311"/>
    <mergeCell ref="CU311:CZ311"/>
    <mergeCell ref="DJ311:DT311"/>
    <mergeCell ref="A312:M312"/>
    <mergeCell ref="N312:U312"/>
    <mergeCell ref="V312:AA312"/>
    <mergeCell ref="AB312:AF312"/>
    <mergeCell ref="AG312:AV312"/>
    <mergeCell ref="AW312:BD312"/>
    <mergeCell ref="BE312:BL312"/>
    <mergeCell ref="BM312:BT312"/>
    <mergeCell ref="BU312:CB312"/>
    <mergeCell ref="CC312:CJ312"/>
    <mergeCell ref="CK312:CR312"/>
    <mergeCell ref="CS312:CT312"/>
    <mergeCell ref="CU312:CZ312"/>
    <mergeCell ref="DJ312:DT312"/>
    <mergeCell ref="A311:M311"/>
    <mergeCell ref="N311:U311"/>
    <mergeCell ref="V311:AA311"/>
    <mergeCell ref="AB311:AF311"/>
    <mergeCell ref="AG311:AV311"/>
    <mergeCell ref="AW311:BD311"/>
    <mergeCell ref="BE311:BL311"/>
    <mergeCell ref="BM311:BT311"/>
    <mergeCell ref="BU311:CB311"/>
    <mergeCell ref="DA311:DB311"/>
    <mergeCell ref="DC311:DI311"/>
    <mergeCell ref="DA312:DB312"/>
    <mergeCell ref="DC312:DI312"/>
    <mergeCell ref="CC309:CJ309"/>
    <mergeCell ref="CK309:CR309"/>
    <mergeCell ref="CS309:CT309"/>
    <mergeCell ref="CU309:CZ309"/>
    <mergeCell ref="DJ309:DT309"/>
    <mergeCell ref="A310:M310"/>
    <mergeCell ref="N310:U310"/>
    <mergeCell ref="V310:AA310"/>
    <mergeCell ref="AB310:AF310"/>
    <mergeCell ref="AG310:AV310"/>
    <mergeCell ref="AW310:BD310"/>
    <mergeCell ref="BE310:BL310"/>
    <mergeCell ref="BM310:BT310"/>
    <mergeCell ref="BU310:CB310"/>
    <mergeCell ref="CC310:CJ310"/>
    <mergeCell ref="CK310:CR310"/>
    <mergeCell ref="CS310:CT310"/>
    <mergeCell ref="CU310:CZ310"/>
    <mergeCell ref="DJ310:DT310"/>
    <mergeCell ref="DA309:DB309"/>
    <mergeCell ref="DC309:DI309"/>
    <mergeCell ref="DA310:DB310"/>
    <mergeCell ref="A309:M309"/>
    <mergeCell ref="N309:U309"/>
    <mergeCell ref="V309:AA309"/>
    <mergeCell ref="AB309:AF309"/>
    <mergeCell ref="AG309:AV309"/>
    <mergeCell ref="AW309:BD309"/>
    <mergeCell ref="BE309:BL309"/>
    <mergeCell ref="BM309:BT309"/>
    <mergeCell ref="BU309:CB309"/>
    <mergeCell ref="DC310:DI310"/>
    <mergeCell ref="CC307:CJ307"/>
    <mergeCell ref="CK307:CR307"/>
    <mergeCell ref="CS307:CT307"/>
    <mergeCell ref="CU307:CZ307"/>
    <mergeCell ref="DJ307:DT307"/>
    <mergeCell ref="A308:M308"/>
    <mergeCell ref="N308:U308"/>
    <mergeCell ref="V308:AA308"/>
    <mergeCell ref="AB308:AF308"/>
    <mergeCell ref="AG308:AV308"/>
    <mergeCell ref="AW308:BD308"/>
    <mergeCell ref="BE308:BL308"/>
    <mergeCell ref="BM308:BT308"/>
    <mergeCell ref="BU308:CB308"/>
    <mergeCell ref="CC308:CJ308"/>
    <mergeCell ref="CK308:CR308"/>
    <mergeCell ref="CS308:CT308"/>
    <mergeCell ref="CU308:CZ308"/>
    <mergeCell ref="DJ308:DT308"/>
    <mergeCell ref="A307:M307"/>
    <mergeCell ref="N307:U307"/>
    <mergeCell ref="V307:AA307"/>
    <mergeCell ref="AB307:AF307"/>
    <mergeCell ref="AG307:AV307"/>
    <mergeCell ref="AW307:BD307"/>
    <mergeCell ref="BE307:BL307"/>
    <mergeCell ref="BM307:BT307"/>
    <mergeCell ref="BU307:CB307"/>
    <mergeCell ref="DA307:DB307"/>
    <mergeCell ref="DC307:DI307"/>
    <mergeCell ref="DA308:DB308"/>
    <mergeCell ref="DC308:DI308"/>
    <mergeCell ref="CC305:CJ305"/>
    <mergeCell ref="CK305:CR305"/>
    <mergeCell ref="CS305:CT305"/>
    <mergeCell ref="CU305:CZ305"/>
    <mergeCell ref="DJ305:DT305"/>
    <mergeCell ref="A306:M306"/>
    <mergeCell ref="N306:U306"/>
    <mergeCell ref="V306:AA306"/>
    <mergeCell ref="AB306:AF306"/>
    <mergeCell ref="AG306:AV306"/>
    <mergeCell ref="AW306:BD306"/>
    <mergeCell ref="BE306:BL306"/>
    <mergeCell ref="BM306:BT306"/>
    <mergeCell ref="BU306:CB306"/>
    <mergeCell ref="CC306:CJ306"/>
    <mergeCell ref="CK306:CR306"/>
    <mergeCell ref="CS306:CT306"/>
    <mergeCell ref="CU306:CZ306"/>
    <mergeCell ref="DJ306:DT306"/>
    <mergeCell ref="A305:M305"/>
    <mergeCell ref="N305:U305"/>
    <mergeCell ref="V305:AA305"/>
    <mergeCell ref="AB305:AF305"/>
    <mergeCell ref="AG305:AV305"/>
    <mergeCell ref="AW305:BD305"/>
    <mergeCell ref="BE305:BL305"/>
    <mergeCell ref="BM305:BT305"/>
    <mergeCell ref="BU305:CB305"/>
    <mergeCell ref="DA305:DB305"/>
    <mergeCell ref="DC305:DI305"/>
    <mergeCell ref="DA306:DB306"/>
    <mergeCell ref="DC306:DI306"/>
    <mergeCell ref="CC303:CJ303"/>
    <mergeCell ref="CK303:CR303"/>
    <mergeCell ref="CS303:CT303"/>
    <mergeCell ref="CU303:CZ303"/>
    <mergeCell ref="DJ303:DT303"/>
    <mergeCell ref="A304:M304"/>
    <mergeCell ref="N304:U304"/>
    <mergeCell ref="V304:AA304"/>
    <mergeCell ref="AB304:AF304"/>
    <mergeCell ref="AG304:AV304"/>
    <mergeCell ref="AW304:BD304"/>
    <mergeCell ref="BE304:BL304"/>
    <mergeCell ref="BM304:BT304"/>
    <mergeCell ref="BU304:CB304"/>
    <mergeCell ref="CC304:CJ304"/>
    <mergeCell ref="CK304:CR304"/>
    <mergeCell ref="CS304:CT304"/>
    <mergeCell ref="CU304:CZ304"/>
    <mergeCell ref="DJ304:DT304"/>
    <mergeCell ref="DA303:DB303"/>
    <mergeCell ref="DC303:DI303"/>
    <mergeCell ref="DA304:DB304"/>
    <mergeCell ref="A303:M303"/>
    <mergeCell ref="N303:U303"/>
    <mergeCell ref="V303:AA303"/>
    <mergeCell ref="AB303:AF303"/>
    <mergeCell ref="AG303:AV303"/>
    <mergeCell ref="AW303:BD303"/>
    <mergeCell ref="BE303:BL303"/>
    <mergeCell ref="BM303:BT303"/>
    <mergeCell ref="BU303:CB303"/>
    <mergeCell ref="DC304:DI304"/>
    <mergeCell ref="CC301:CJ301"/>
    <mergeCell ref="CK301:CR301"/>
    <mergeCell ref="CS301:CT301"/>
    <mergeCell ref="CU301:CZ301"/>
    <mergeCell ref="DJ301:DT301"/>
    <mergeCell ref="A302:M302"/>
    <mergeCell ref="N302:U302"/>
    <mergeCell ref="V302:AA302"/>
    <mergeCell ref="AB302:AF302"/>
    <mergeCell ref="AG302:AV302"/>
    <mergeCell ref="AW302:BD302"/>
    <mergeCell ref="BE302:BL302"/>
    <mergeCell ref="BM302:BT302"/>
    <mergeCell ref="BU302:CB302"/>
    <mergeCell ref="CC302:CJ302"/>
    <mergeCell ref="CK302:CR302"/>
    <mergeCell ref="CS302:CT302"/>
    <mergeCell ref="CU302:CZ302"/>
    <mergeCell ref="DJ302:DT302"/>
    <mergeCell ref="A301:M301"/>
    <mergeCell ref="N301:U301"/>
    <mergeCell ref="V301:AA301"/>
    <mergeCell ref="AB301:AF301"/>
    <mergeCell ref="AG301:AV301"/>
    <mergeCell ref="AW301:BD301"/>
    <mergeCell ref="BE301:BL301"/>
    <mergeCell ref="BM301:BT301"/>
    <mergeCell ref="BU301:CB301"/>
    <mergeCell ref="DA301:DB301"/>
    <mergeCell ref="DC301:DI301"/>
    <mergeCell ref="DA302:DB302"/>
    <mergeCell ref="DC302:DI302"/>
    <mergeCell ref="CC299:CJ299"/>
    <mergeCell ref="CK299:CR299"/>
    <mergeCell ref="CS299:CT299"/>
    <mergeCell ref="CU299:CZ299"/>
    <mergeCell ref="DJ299:DT299"/>
    <mergeCell ref="A300:M300"/>
    <mergeCell ref="N300:U300"/>
    <mergeCell ref="V300:AA300"/>
    <mergeCell ref="AB300:AF300"/>
    <mergeCell ref="AG300:AV300"/>
    <mergeCell ref="AW300:BD300"/>
    <mergeCell ref="BE300:BL300"/>
    <mergeCell ref="BM300:BT300"/>
    <mergeCell ref="BU300:CB300"/>
    <mergeCell ref="CC300:CJ300"/>
    <mergeCell ref="CK300:CR300"/>
    <mergeCell ref="CS300:CT300"/>
    <mergeCell ref="CU300:CZ300"/>
    <mergeCell ref="DJ300:DT300"/>
    <mergeCell ref="A299:M299"/>
    <mergeCell ref="N299:U299"/>
    <mergeCell ref="V299:AA299"/>
    <mergeCell ref="AB299:AF299"/>
    <mergeCell ref="AG299:AV299"/>
    <mergeCell ref="AW299:BD299"/>
    <mergeCell ref="BE299:BL299"/>
    <mergeCell ref="BM299:BT299"/>
    <mergeCell ref="BU299:CB299"/>
    <mergeCell ref="DA299:DB299"/>
    <mergeCell ref="DC299:DI299"/>
    <mergeCell ref="DA300:DB300"/>
    <mergeCell ref="DC300:DI300"/>
    <mergeCell ref="CC297:CJ297"/>
    <mergeCell ref="CK297:CR297"/>
    <mergeCell ref="CS297:CT297"/>
    <mergeCell ref="CU297:CZ297"/>
    <mergeCell ref="DJ297:DT297"/>
    <mergeCell ref="A298:M298"/>
    <mergeCell ref="N298:U298"/>
    <mergeCell ref="V298:AA298"/>
    <mergeCell ref="AB298:AF298"/>
    <mergeCell ref="AG298:AV298"/>
    <mergeCell ref="AW298:BD298"/>
    <mergeCell ref="BE298:BL298"/>
    <mergeCell ref="BM298:BT298"/>
    <mergeCell ref="BU298:CB298"/>
    <mergeCell ref="CC298:CJ298"/>
    <mergeCell ref="CK298:CR298"/>
    <mergeCell ref="CS298:CT298"/>
    <mergeCell ref="CU298:CZ298"/>
    <mergeCell ref="DJ298:DT298"/>
    <mergeCell ref="DA297:DB297"/>
    <mergeCell ref="DC297:DI297"/>
    <mergeCell ref="DA298:DB298"/>
    <mergeCell ref="A297:M297"/>
    <mergeCell ref="N297:U297"/>
    <mergeCell ref="V297:AA297"/>
    <mergeCell ref="AB297:AF297"/>
    <mergeCell ref="AG297:AV297"/>
    <mergeCell ref="AW297:BD297"/>
    <mergeCell ref="BE297:BL297"/>
    <mergeCell ref="BM297:BT297"/>
    <mergeCell ref="BU297:CB297"/>
    <mergeCell ref="DC298:DI298"/>
    <mergeCell ref="CC295:CJ295"/>
    <mergeCell ref="CK295:CR295"/>
    <mergeCell ref="CS295:CT295"/>
    <mergeCell ref="CU295:CZ295"/>
    <mergeCell ref="DJ295:DT295"/>
    <mergeCell ref="A296:M296"/>
    <mergeCell ref="N296:U296"/>
    <mergeCell ref="V296:AA296"/>
    <mergeCell ref="AB296:AF296"/>
    <mergeCell ref="AG296:AV296"/>
    <mergeCell ref="AW296:BD296"/>
    <mergeCell ref="BE296:BL296"/>
    <mergeCell ref="BM296:BT296"/>
    <mergeCell ref="BU296:CB296"/>
    <mergeCell ref="CC296:CJ296"/>
    <mergeCell ref="CK296:CR296"/>
    <mergeCell ref="CS296:CT296"/>
    <mergeCell ref="CU296:CZ296"/>
    <mergeCell ref="DJ296:DT296"/>
    <mergeCell ref="A295:M295"/>
    <mergeCell ref="N295:U295"/>
    <mergeCell ref="V295:AA295"/>
    <mergeCell ref="AB295:AF295"/>
    <mergeCell ref="AG295:AV295"/>
    <mergeCell ref="AW295:BD295"/>
    <mergeCell ref="BE295:BL295"/>
    <mergeCell ref="BM295:BT295"/>
    <mergeCell ref="BU295:CB295"/>
    <mergeCell ref="DA295:DB295"/>
    <mergeCell ref="DC295:DI295"/>
    <mergeCell ref="DA296:DB296"/>
    <mergeCell ref="DC296:DI296"/>
    <mergeCell ref="CC293:CJ293"/>
    <mergeCell ref="CK293:CR293"/>
    <mergeCell ref="CS293:CT293"/>
    <mergeCell ref="CU293:CZ293"/>
    <mergeCell ref="DJ293:DT293"/>
    <mergeCell ref="A294:M294"/>
    <mergeCell ref="N294:U294"/>
    <mergeCell ref="V294:AA294"/>
    <mergeCell ref="AB294:AF294"/>
    <mergeCell ref="AG294:AV294"/>
    <mergeCell ref="AW294:BD294"/>
    <mergeCell ref="BE294:BL294"/>
    <mergeCell ref="BM294:BT294"/>
    <mergeCell ref="BU294:CB294"/>
    <mergeCell ref="CC294:CJ294"/>
    <mergeCell ref="CK294:CR294"/>
    <mergeCell ref="CS294:CT294"/>
    <mergeCell ref="CU294:CZ294"/>
    <mergeCell ref="DJ294:DT294"/>
    <mergeCell ref="A293:M293"/>
    <mergeCell ref="N293:U293"/>
    <mergeCell ref="V293:AA293"/>
    <mergeCell ref="AB293:AF293"/>
    <mergeCell ref="AG293:AV293"/>
    <mergeCell ref="AW293:BD293"/>
    <mergeCell ref="BE293:BL293"/>
    <mergeCell ref="BM293:BT293"/>
    <mergeCell ref="BU293:CB293"/>
    <mergeCell ref="DA293:DB293"/>
    <mergeCell ref="DC293:DI293"/>
    <mergeCell ref="DA294:DB294"/>
    <mergeCell ref="DC294:DI294"/>
    <mergeCell ref="CC291:CJ291"/>
    <mergeCell ref="CK291:CR291"/>
    <mergeCell ref="CS291:CT291"/>
    <mergeCell ref="CU291:CZ291"/>
    <mergeCell ref="DJ291:DT291"/>
    <mergeCell ref="A292:M292"/>
    <mergeCell ref="N292:U292"/>
    <mergeCell ref="V292:AA292"/>
    <mergeCell ref="AB292:AF292"/>
    <mergeCell ref="AG292:AV292"/>
    <mergeCell ref="AW292:BD292"/>
    <mergeCell ref="BE292:BL292"/>
    <mergeCell ref="BM292:BT292"/>
    <mergeCell ref="BU292:CB292"/>
    <mergeCell ref="CC292:CJ292"/>
    <mergeCell ref="CK292:CR292"/>
    <mergeCell ref="CS292:CT292"/>
    <mergeCell ref="CU292:CZ292"/>
    <mergeCell ref="DJ292:DT292"/>
    <mergeCell ref="DA291:DB291"/>
    <mergeCell ref="DC291:DI291"/>
    <mergeCell ref="DA292:DB292"/>
    <mergeCell ref="A291:M291"/>
    <mergeCell ref="N291:U291"/>
    <mergeCell ref="V291:AA291"/>
    <mergeCell ref="AB291:AF291"/>
    <mergeCell ref="AG291:AV291"/>
    <mergeCell ref="AW291:BD291"/>
    <mergeCell ref="BE291:BL291"/>
    <mergeCell ref="BM291:BT291"/>
    <mergeCell ref="BU291:CB291"/>
    <mergeCell ref="DC292:DI292"/>
    <mergeCell ref="CC289:CJ289"/>
    <mergeCell ref="CK289:CR289"/>
    <mergeCell ref="CS289:CZ289"/>
    <mergeCell ref="DA289:DI289"/>
    <mergeCell ref="DJ289:DT289"/>
    <mergeCell ref="A290:M290"/>
    <mergeCell ref="N290:U290"/>
    <mergeCell ref="V290:AA290"/>
    <mergeCell ref="AB290:AF290"/>
    <mergeCell ref="AG290:AV290"/>
    <mergeCell ref="AW290:BD290"/>
    <mergeCell ref="BE290:BL290"/>
    <mergeCell ref="BM290:BT290"/>
    <mergeCell ref="BU290:CB290"/>
    <mergeCell ref="CC290:CJ290"/>
    <mergeCell ref="CK290:CR290"/>
    <mergeCell ref="CS290:CT290"/>
    <mergeCell ref="CU290:CZ290"/>
    <mergeCell ref="DJ290:DT290"/>
    <mergeCell ref="DA290:DB290"/>
    <mergeCell ref="DC290:DI290"/>
    <mergeCell ref="A289:M289"/>
    <mergeCell ref="N289:U289"/>
    <mergeCell ref="V289:AA289"/>
    <mergeCell ref="AB289:AF289"/>
    <mergeCell ref="AG289:AV289"/>
    <mergeCell ref="AW289:BD289"/>
    <mergeCell ref="BE289:BL289"/>
    <mergeCell ref="BM289:BT289"/>
    <mergeCell ref="BU289:CB289"/>
    <mergeCell ref="A285:DT285"/>
    <mergeCell ref="A286:BA286"/>
    <mergeCell ref="A288:M288"/>
    <mergeCell ref="N288:U288"/>
    <mergeCell ref="V288:AA288"/>
    <mergeCell ref="AB288:AF288"/>
    <mergeCell ref="AG288:AV288"/>
    <mergeCell ref="AW288:CR288"/>
    <mergeCell ref="CS288:CZ288"/>
    <mergeCell ref="DA288:DI288"/>
    <mergeCell ref="DJ288:DT288"/>
    <mergeCell ref="DJ277:DO277"/>
    <mergeCell ref="DP277:DS277"/>
    <mergeCell ref="A282:X282"/>
    <mergeCell ref="A283:E283"/>
    <mergeCell ref="G283:AE283"/>
    <mergeCell ref="AF283:AK283"/>
    <mergeCell ref="AM283:BG283"/>
    <mergeCell ref="BU283:BY283"/>
    <mergeCell ref="CA283:CI283"/>
    <mergeCell ref="CJ283:CN283"/>
    <mergeCell ref="CP283:CX283"/>
    <mergeCell ref="DG283:DK283"/>
    <mergeCell ref="DM283:DT283"/>
    <mergeCell ref="CC275:CJ275"/>
    <mergeCell ref="CK275:CR275"/>
    <mergeCell ref="CS275:CT275"/>
    <mergeCell ref="CU275:CZ275"/>
    <mergeCell ref="DJ275:DT275"/>
    <mergeCell ref="P276:CY276"/>
    <mergeCell ref="DA276:DB276"/>
    <mergeCell ref="DC276:DT276"/>
    <mergeCell ref="DA275:DB275"/>
    <mergeCell ref="DC275:DI275"/>
    <mergeCell ref="A275:M275"/>
    <mergeCell ref="N275:U275"/>
    <mergeCell ref="V275:AA275"/>
    <mergeCell ref="AB275:AF275"/>
    <mergeCell ref="AG275:AV275"/>
    <mergeCell ref="AW275:BD275"/>
    <mergeCell ref="BE275:BL275"/>
    <mergeCell ref="BM275:BT275"/>
    <mergeCell ref="BU275:CB275"/>
    <mergeCell ref="CC273:CJ273"/>
    <mergeCell ref="CK273:CR273"/>
    <mergeCell ref="CS273:CT273"/>
    <mergeCell ref="CU273:CZ273"/>
    <mergeCell ref="DJ273:DT273"/>
    <mergeCell ref="A274:M274"/>
    <mergeCell ref="N274:U274"/>
    <mergeCell ref="V274:AA274"/>
    <mergeCell ref="AB274:AF274"/>
    <mergeCell ref="AG274:AV274"/>
    <mergeCell ref="AW274:BD274"/>
    <mergeCell ref="BE274:BL274"/>
    <mergeCell ref="BM274:BT274"/>
    <mergeCell ref="BU274:CB274"/>
    <mergeCell ref="CC274:CJ274"/>
    <mergeCell ref="CK274:CR274"/>
    <mergeCell ref="CS274:CT274"/>
    <mergeCell ref="CU274:CZ274"/>
    <mergeCell ref="DJ274:DT274"/>
    <mergeCell ref="A273:M273"/>
    <mergeCell ref="N273:U273"/>
    <mergeCell ref="V273:AA273"/>
    <mergeCell ref="AB273:AF273"/>
    <mergeCell ref="AG273:AV273"/>
    <mergeCell ref="AW273:BD273"/>
    <mergeCell ref="BE273:BL273"/>
    <mergeCell ref="BM273:BT273"/>
    <mergeCell ref="BU273:CB273"/>
    <mergeCell ref="DA273:DB273"/>
    <mergeCell ref="DC273:DI273"/>
    <mergeCell ref="DA274:DB274"/>
    <mergeCell ref="DC274:DI274"/>
    <mergeCell ref="CC271:CJ271"/>
    <mergeCell ref="CK271:CR271"/>
    <mergeCell ref="CS271:CT271"/>
    <mergeCell ref="CU271:CZ271"/>
    <mergeCell ref="DJ271:DT271"/>
    <mergeCell ref="A272:M272"/>
    <mergeCell ref="N272:U272"/>
    <mergeCell ref="V272:AA272"/>
    <mergeCell ref="AB272:AF272"/>
    <mergeCell ref="AG272:AV272"/>
    <mergeCell ref="AW272:BD272"/>
    <mergeCell ref="BE272:BL272"/>
    <mergeCell ref="BM272:BT272"/>
    <mergeCell ref="BU272:CB272"/>
    <mergeCell ref="CC272:CJ272"/>
    <mergeCell ref="CK272:CR272"/>
    <mergeCell ref="CS272:CT272"/>
    <mergeCell ref="CU272:CZ272"/>
    <mergeCell ref="DJ272:DT272"/>
    <mergeCell ref="A271:M271"/>
    <mergeCell ref="N271:U271"/>
    <mergeCell ref="V271:AA271"/>
    <mergeCell ref="AB271:AF271"/>
    <mergeCell ref="AG271:AV271"/>
    <mergeCell ref="AW271:BD271"/>
    <mergeCell ref="BE271:BL271"/>
    <mergeCell ref="BM271:BT271"/>
    <mergeCell ref="BU271:CB271"/>
    <mergeCell ref="DA271:DB271"/>
    <mergeCell ref="DC271:DI271"/>
    <mergeCell ref="DA272:DB272"/>
    <mergeCell ref="DC272:DI272"/>
    <mergeCell ref="CC269:CJ269"/>
    <mergeCell ref="CK269:CR269"/>
    <mergeCell ref="CS269:CT269"/>
    <mergeCell ref="CU269:CZ269"/>
    <mergeCell ref="DJ269:DT269"/>
    <mergeCell ref="A270:M270"/>
    <mergeCell ref="N270:U270"/>
    <mergeCell ref="V270:AA270"/>
    <mergeCell ref="AB270:AF270"/>
    <mergeCell ref="AG270:AV270"/>
    <mergeCell ref="AW270:BD270"/>
    <mergeCell ref="BE270:BL270"/>
    <mergeCell ref="BM270:BT270"/>
    <mergeCell ref="BU270:CB270"/>
    <mergeCell ref="CC270:CJ270"/>
    <mergeCell ref="CK270:CR270"/>
    <mergeCell ref="CS270:CT270"/>
    <mergeCell ref="CU270:CZ270"/>
    <mergeCell ref="DJ270:DT270"/>
    <mergeCell ref="DA269:DB269"/>
    <mergeCell ref="DC269:DI269"/>
    <mergeCell ref="DA270:DB270"/>
    <mergeCell ref="A269:M269"/>
    <mergeCell ref="N269:U269"/>
    <mergeCell ref="V269:AA269"/>
    <mergeCell ref="AB269:AF269"/>
    <mergeCell ref="AG269:AV269"/>
    <mergeCell ref="AW269:BD269"/>
    <mergeCell ref="BE269:BL269"/>
    <mergeCell ref="BM269:BT269"/>
    <mergeCell ref="BU269:CB269"/>
    <mergeCell ref="DC270:DI270"/>
    <mergeCell ref="CC267:CJ267"/>
    <mergeCell ref="CK267:CR267"/>
    <mergeCell ref="CS267:CT267"/>
    <mergeCell ref="CU267:CZ267"/>
    <mergeCell ref="DJ267:DT267"/>
    <mergeCell ref="A268:M268"/>
    <mergeCell ref="N268:U268"/>
    <mergeCell ref="V268:AA268"/>
    <mergeCell ref="AB268:AF268"/>
    <mergeCell ref="AG268:AV268"/>
    <mergeCell ref="AW268:BD268"/>
    <mergeCell ref="BE268:BL268"/>
    <mergeCell ref="BM268:BT268"/>
    <mergeCell ref="BU268:CB268"/>
    <mergeCell ref="CC268:CJ268"/>
    <mergeCell ref="CK268:CR268"/>
    <mergeCell ref="CS268:CT268"/>
    <mergeCell ref="CU268:CZ268"/>
    <mergeCell ref="DJ268:DT268"/>
    <mergeCell ref="A267:M267"/>
    <mergeCell ref="N267:U267"/>
    <mergeCell ref="V267:AA267"/>
    <mergeCell ref="AB267:AF267"/>
    <mergeCell ref="AG267:AV267"/>
    <mergeCell ref="AW267:BD267"/>
    <mergeCell ref="BE267:BL267"/>
    <mergeCell ref="BM267:BT267"/>
    <mergeCell ref="BU267:CB267"/>
    <mergeCell ref="DA267:DB267"/>
    <mergeCell ref="DC267:DI267"/>
    <mergeCell ref="DA268:DB268"/>
    <mergeCell ref="DC268:DI268"/>
    <mergeCell ref="CC265:CJ265"/>
    <mergeCell ref="CK265:CR265"/>
    <mergeCell ref="CS265:CT265"/>
    <mergeCell ref="CU265:CZ265"/>
    <mergeCell ref="DJ265:DT265"/>
    <mergeCell ref="A266:M266"/>
    <mergeCell ref="N266:U266"/>
    <mergeCell ref="V266:AA266"/>
    <mergeCell ref="AB266:AF266"/>
    <mergeCell ref="AG266:AV266"/>
    <mergeCell ref="AW266:BD266"/>
    <mergeCell ref="BE266:BL266"/>
    <mergeCell ref="BM266:BT266"/>
    <mergeCell ref="BU266:CB266"/>
    <mergeCell ref="CC266:CJ266"/>
    <mergeCell ref="CK266:CR266"/>
    <mergeCell ref="CS266:CT266"/>
    <mergeCell ref="CU266:CZ266"/>
    <mergeCell ref="DJ266:DT266"/>
    <mergeCell ref="A265:M265"/>
    <mergeCell ref="N265:U265"/>
    <mergeCell ref="V265:AA265"/>
    <mergeCell ref="AB265:AF265"/>
    <mergeCell ref="AG265:AV265"/>
    <mergeCell ref="AW265:BD265"/>
    <mergeCell ref="BE265:BL265"/>
    <mergeCell ref="BM265:BT265"/>
    <mergeCell ref="BU265:CB265"/>
    <mergeCell ref="DA265:DB265"/>
    <mergeCell ref="DC265:DI265"/>
    <mergeCell ref="DA266:DB266"/>
    <mergeCell ref="DC266:DI266"/>
    <mergeCell ref="CC263:CJ263"/>
    <mergeCell ref="CK263:CR263"/>
    <mergeCell ref="CS263:CT263"/>
    <mergeCell ref="CU263:CZ263"/>
    <mergeCell ref="DJ263:DT263"/>
    <mergeCell ref="A264:M264"/>
    <mergeCell ref="N264:U264"/>
    <mergeCell ref="V264:AA264"/>
    <mergeCell ref="AB264:AF264"/>
    <mergeCell ref="AG264:AV264"/>
    <mergeCell ref="AW264:BD264"/>
    <mergeCell ref="BE264:BL264"/>
    <mergeCell ref="BM264:BT264"/>
    <mergeCell ref="BU264:CB264"/>
    <mergeCell ref="CC264:CJ264"/>
    <mergeCell ref="CK264:CR264"/>
    <mergeCell ref="CS264:CT264"/>
    <mergeCell ref="CU264:CZ264"/>
    <mergeCell ref="DJ264:DT264"/>
    <mergeCell ref="DA263:DB263"/>
    <mergeCell ref="DC263:DI263"/>
    <mergeCell ref="DA264:DB264"/>
    <mergeCell ref="A263:M263"/>
    <mergeCell ref="N263:U263"/>
    <mergeCell ref="V263:AA263"/>
    <mergeCell ref="AB263:AF263"/>
    <mergeCell ref="AG263:AV263"/>
    <mergeCell ref="AW263:BD263"/>
    <mergeCell ref="BE263:BL263"/>
    <mergeCell ref="BM263:BT263"/>
    <mergeCell ref="BU263:CB263"/>
    <mergeCell ref="DC264:DI264"/>
    <mergeCell ref="CC261:CJ261"/>
    <mergeCell ref="CK261:CR261"/>
    <mergeCell ref="CS261:CT261"/>
    <mergeCell ref="CU261:CZ261"/>
    <mergeCell ref="DJ261:DT261"/>
    <mergeCell ref="A262:M262"/>
    <mergeCell ref="N262:U262"/>
    <mergeCell ref="V262:AA262"/>
    <mergeCell ref="AB262:AF262"/>
    <mergeCell ref="AG262:AV262"/>
    <mergeCell ref="AW262:BD262"/>
    <mergeCell ref="BE262:BL262"/>
    <mergeCell ref="BM262:BT262"/>
    <mergeCell ref="BU262:CB262"/>
    <mergeCell ref="CC262:CJ262"/>
    <mergeCell ref="CK262:CR262"/>
    <mergeCell ref="CS262:CT262"/>
    <mergeCell ref="CU262:CZ262"/>
    <mergeCell ref="DJ262:DT262"/>
    <mergeCell ref="A261:M261"/>
    <mergeCell ref="N261:U261"/>
    <mergeCell ref="V261:AA261"/>
    <mergeCell ref="AB261:AF261"/>
    <mergeCell ref="AG261:AV261"/>
    <mergeCell ref="AW261:BD261"/>
    <mergeCell ref="BE261:BL261"/>
    <mergeCell ref="BM261:BT261"/>
    <mergeCell ref="BU261:CB261"/>
    <mergeCell ref="DA261:DB261"/>
    <mergeCell ref="DC261:DI261"/>
    <mergeCell ref="DA262:DB262"/>
    <mergeCell ref="DC262:DI262"/>
    <mergeCell ref="CC259:CJ259"/>
    <mergeCell ref="CK259:CR259"/>
    <mergeCell ref="CS259:CT259"/>
    <mergeCell ref="CU259:CZ259"/>
    <mergeCell ref="DJ259:DT259"/>
    <mergeCell ref="A260:M260"/>
    <mergeCell ref="N260:U260"/>
    <mergeCell ref="V260:AA260"/>
    <mergeCell ref="AB260:AF260"/>
    <mergeCell ref="AG260:AV260"/>
    <mergeCell ref="AW260:BD260"/>
    <mergeCell ref="BE260:BL260"/>
    <mergeCell ref="BM260:BT260"/>
    <mergeCell ref="BU260:CB260"/>
    <mergeCell ref="CC260:CJ260"/>
    <mergeCell ref="CK260:CR260"/>
    <mergeCell ref="CS260:CT260"/>
    <mergeCell ref="CU260:CZ260"/>
    <mergeCell ref="DJ260:DT260"/>
    <mergeCell ref="A259:M259"/>
    <mergeCell ref="N259:U259"/>
    <mergeCell ref="V259:AA259"/>
    <mergeCell ref="AB259:AF259"/>
    <mergeCell ref="AG259:AV259"/>
    <mergeCell ref="AW259:BD259"/>
    <mergeCell ref="BE259:BL259"/>
    <mergeCell ref="BM259:BT259"/>
    <mergeCell ref="BU259:CB259"/>
    <mergeCell ref="DA259:DB259"/>
    <mergeCell ref="DC259:DI259"/>
    <mergeCell ref="DA260:DB260"/>
    <mergeCell ref="DC260:DI260"/>
    <mergeCell ref="CC257:CJ257"/>
    <mergeCell ref="CK257:CR257"/>
    <mergeCell ref="CS257:CT257"/>
    <mergeCell ref="CU257:CZ257"/>
    <mergeCell ref="DJ257:DT257"/>
    <mergeCell ref="A258:M258"/>
    <mergeCell ref="N258:U258"/>
    <mergeCell ref="V258:AA258"/>
    <mergeCell ref="AB258:AF258"/>
    <mergeCell ref="AG258:AV258"/>
    <mergeCell ref="AW258:BD258"/>
    <mergeCell ref="BE258:BL258"/>
    <mergeCell ref="BM258:BT258"/>
    <mergeCell ref="BU258:CB258"/>
    <mergeCell ref="CC258:CJ258"/>
    <mergeCell ref="CK258:CR258"/>
    <mergeCell ref="CS258:CT258"/>
    <mergeCell ref="CU258:CZ258"/>
    <mergeCell ref="DJ258:DT258"/>
    <mergeCell ref="DA257:DB257"/>
    <mergeCell ref="DC257:DI257"/>
    <mergeCell ref="DA258:DB258"/>
    <mergeCell ref="A257:M257"/>
    <mergeCell ref="N257:U257"/>
    <mergeCell ref="V257:AA257"/>
    <mergeCell ref="AB257:AF257"/>
    <mergeCell ref="AG257:AV257"/>
    <mergeCell ref="AW257:BD257"/>
    <mergeCell ref="BE257:BL257"/>
    <mergeCell ref="BM257:BT257"/>
    <mergeCell ref="BU257:CB257"/>
    <mergeCell ref="DC258:DI258"/>
    <mergeCell ref="CC255:CJ255"/>
    <mergeCell ref="CK255:CR255"/>
    <mergeCell ref="CS255:CT255"/>
    <mergeCell ref="CU255:CZ255"/>
    <mergeCell ref="DJ255:DT255"/>
    <mergeCell ref="A256:M256"/>
    <mergeCell ref="N256:U256"/>
    <mergeCell ref="V256:AA256"/>
    <mergeCell ref="AB256:AF256"/>
    <mergeCell ref="AG256:AV256"/>
    <mergeCell ref="AW256:BD256"/>
    <mergeCell ref="BE256:BL256"/>
    <mergeCell ref="BM256:BT256"/>
    <mergeCell ref="BU256:CB256"/>
    <mergeCell ref="CC256:CJ256"/>
    <mergeCell ref="CK256:CR256"/>
    <mergeCell ref="CS256:CT256"/>
    <mergeCell ref="CU256:CZ256"/>
    <mergeCell ref="DJ256:DT256"/>
    <mergeCell ref="A255:M255"/>
    <mergeCell ref="N255:U255"/>
    <mergeCell ref="V255:AA255"/>
    <mergeCell ref="AB255:AF255"/>
    <mergeCell ref="AG255:AV255"/>
    <mergeCell ref="AW255:BD255"/>
    <mergeCell ref="BE255:BL255"/>
    <mergeCell ref="BM255:BT255"/>
    <mergeCell ref="BU255:CB255"/>
    <mergeCell ref="DA255:DB255"/>
    <mergeCell ref="DC255:DI255"/>
    <mergeCell ref="DA256:DB256"/>
    <mergeCell ref="DC256:DI256"/>
    <mergeCell ref="CC253:CJ253"/>
    <mergeCell ref="CK253:CR253"/>
    <mergeCell ref="CS253:CT253"/>
    <mergeCell ref="CU253:CZ253"/>
    <mergeCell ref="DJ253:DT253"/>
    <mergeCell ref="A254:M254"/>
    <mergeCell ref="N254:U254"/>
    <mergeCell ref="V254:AA254"/>
    <mergeCell ref="AB254:AF254"/>
    <mergeCell ref="AG254:AV254"/>
    <mergeCell ref="AW254:BD254"/>
    <mergeCell ref="BE254:BL254"/>
    <mergeCell ref="BM254:BT254"/>
    <mergeCell ref="BU254:CB254"/>
    <mergeCell ref="CC254:CJ254"/>
    <mergeCell ref="CK254:CR254"/>
    <mergeCell ref="CS254:CT254"/>
    <mergeCell ref="CU254:CZ254"/>
    <mergeCell ref="DJ254:DT254"/>
    <mergeCell ref="A253:M253"/>
    <mergeCell ref="N253:U253"/>
    <mergeCell ref="V253:AA253"/>
    <mergeCell ref="AB253:AF253"/>
    <mergeCell ref="AG253:AV253"/>
    <mergeCell ref="AW253:BD253"/>
    <mergeCell ref="BE253:BL253"/>
    <mergeCell ref="BM253:BT253"/>
    <mergeCell ref="BU253:CB253"/>
    <mergeCell ref="DA253:DB253"/>
    <mergeCell ref="DC253:DI253"/>
    <mergeCell ref="DA254:DB254"/>
    <mergeCell ref="DC254:DI254"/>
    <mergeCell ref="CC251:CJ251"/>
    <mergeCell ref="CK251:CR251"/>
    <mergeCell ref="CS251:CT251"/>
    <mergeCell ref="CU251:CZ251"/>
    <mergeCell ref="DJ251:DT251"/>
    <mergeCell ref="A252:M252"/>
    <mergeCell ref="N252:U252"/>
    <mergeCell ref="V252:AA252"/>
    <mergeCell ref="AB252:AF252"/>
    <mergeCell ref="AG252:AV252"/>
    <mergeCell ref="AW252:BD252"/>
    <mergeCell ref="BE252:BL252"/>
    <mergeCell ref="BM252:BT252"/>
    <mergeCell ref="BU252:CB252"/>
    <mergeCell ref="CC252:CJ252"/>
    <mergeCell ref="CK252:CR252"/>
    <mergeCell ref="CS252:CT252"/>
    <mergeCell ref="CU252:CZ252"/>
    <mergeCell ref="DJ252:DT252"/>
    <mergeCell ref="DA251:DB251"/>
    <mergeCell ref="DC251:DI251"/>
    <mergeCell ref="DA252:DB252"/>
    <mergeCell ref="A251:M251"/>
    <mergeCell ref="N251:U251"/>
    <mergeCell ref="V251:AA251"/>
    <mergeCell ref="AB251:AF251"/>
    <mergeCell ref="AG251:AV251"/>
    <mergeCell ref="AW251:BD251"/>
    <mergeCell ref="BE251:BL251"/>
    <mergeCell ref="BM251:BT251"/>
    <mergeCell ref="BU251:CB251"/>
    <mergeCell ref="DC252:DI252"/>
    <mergeCell ref="CC249:CJ249"/>
    <mergeCell ref="CK249:CR249"/>
    <mergeCell ref="CS249:CZ249"/>
    <mergeCell ref="DA249:DI249"/>
    <mergeCell ref="DJ249:DT249"/>
    <mergeCell ref="A250:M250"/>
    <mergeCell ref="N250:U250"/>
    <mergeCell ref="V250:AA250"/>
    <mergeCell ref="AB250:AF250"/>
    <mergeCell ref="AG250:AV250"/>
    <mergeCell ref="AW250:BD250"/>
    <mergeCell ref="BE250:BL250"/>
    <mergeCell ref="BM250:BT250"/>
    <mergeCell ref="BU250:CB250"/>
    <mergeCell ref="CC250:CJ250"/>
    <mergeCell ref="CK250:CR250"/>
    <mergeCell ref="CS250:CT250"/>
    <mergeCell ref="CU250:CZ250"/>
    <mergeCell ref="DJ250:DT250"/>
    <mergeCell ref="DA250:DB250"/>
    <mergeCell ref="DC250:DI250"/>
    <mergeCell ref="A249:M249"/>
    <mergeCell ref="N249:U249"/>
    <mergeCell ref="V249:AA249"/>
    <mergeCell ref="AB249:AF249"/>
    <mergeCell ref="AG249:AV249"/>
    <mergeCell ref="AW249:BD249"/>
    <mergeCell ref="BE249:BL249"/>
    <mergeCell ref="BM249:BT249"/>
    <mergeCell ref="BU249:CB249"/>
    <mergeCell ref="A245:DT245"/>
    <mergeCell ref="A246:BA246"/>
    <mergeCell ref="A248:M248"/>
    <mergeCell ref="N248:U248"/>
    <mergeCell ref="V248:AA248"/>
    <mergeCell ref="AB248:AF248"/>
    <mergeCell ref="AG248:AV248"/>
    <mergeCell ref="AW248:CR248"/>
    <mergeCell ref="CS248:CZ248"/>
    <mergeCell ref="DA248:DI248"/>
    <mergeCell ref="DJ248:DT248"/>
    <mergeCell ref="DJ237:DO237"/>
    <mergeCell ref="DP237:DS237"/>
    <mergeCell ref="A242:X242"/>
    <mergeCell ref="A243:E243"/>
    <mergeCell ref="G243:AE243"/>
    <mergeCell ref="AF243:AK243"/>
    <mergeCell ref="AM243:BG243"/>
    <mergeCell ref="BU243:BY243"/>
    <mergeCell ref="CA243:CI243"/>
    <mergeCell ref="CJ243:CN243"/>
    <mergeCell ref="CP243:CX243"/>
    <mergeCell ref="DG243:DK243"/>
    <mergeCell ref="DM243:DT243"/>
    <mergeCell ref="CC235:CJ235"/>
    <mergeCell ref="CK235:CR235"/>
    <mergeCell ref="CS235:CT235"/>
    <mergeCell ref="CU235:CZ235"/>
    <mergeCell ref="DJ235:DT235"/>
    <mergeCell ref="P236:CY236"/>
    <mergeCell ref="DA236:DB236"/>
    <mergeCell ref="DC236:DT236"/>
    <mergeCell ref="DA235:DB235"/>
    <mergeCell ref="DC235:DI235"/>
    <mergeCell ref="A235:M235"/>
    <mergeCell ref="N235:U235"/>
    <mergeCell ref="V235:AA235"/>
    <mergeCell ref="AB235:AF235"/>
    <mergeCell ref="AG235:AV235"/>
    <mergeCell ref="AW235:BD235"/>
    <mergeCell ref="BE235:BL235"/>
    <mergeCell ref="BM235:BT235"/>
    <mergeCell ref="BU235:CB235"/>
    <mergeCell ref="CC233:CJ233"/>
    <mergeCell ref="CK233:CR233"/>
    <mergeCell ref="CS233:CT233"/>
    <mergeCell ref="CU233:CZ233"/>
    <mergeCell ref="DJ233:DT233"/>
    <mergeCell ref="A234:M234"/>
    <mergeCell ref="N234:U234"/>
    <mergeCell ref="V234:AA234"/>
    <mergeCell ref="AB234:AF234"/>
    <mergeCell ref="AG234:AV234"/>
    <mergeCell ref="AW234:BD234"/>
    <mergeCell ref="BE234:BL234"/>
    <mergeCell ref="BM234:BT234"/>
    <mergeCell ref="BU234:CB234"/>
    <mergeCell ref="CC234:CJ234"/>
    <mergeCell ref="CK234:CR234"/>
    <mergeCell ref="CS234:CT234"/>
    <mergeCell ref="CU234:CZ234"/>
    <mergeCell ref="DJ234:DT234"/>
    <mergeCell ref="A233:M233"/>
    <mergeCell ref="N233:U233"/>
    <mergeCell ref="V233:AA233"/>
    <mergeCell ref="AB233:AF233"/>
    <mergeCell ref="AG233:AV233"/>
    <mergeCell ref="AW233:BD233"/>
    <mergeCell ref="BE233:BL233"/>
    <mergeCell ref="BM233:BT233"/>
    <mergeCell ref="BU233:CB233"/>
    <mergeCell ref="DA233:DB233"/>
    <mergeCell ref="DC233:DI233"/>
    <mergeCell ref="DA234:DB234"/>
    <mergeCell ref="DC234:DI234"/>
    <mergeCell ref="CC231:CJ231"/>
    <mergeCell ref="CK231:CR231"/>
    <mergeCell ref="CS231:CT231"/>
    <mergeCell ref="CU231:CZ231"/>
    <mergeCell ref="DJ231:DT231"/>
    <mergeCell ref="A232:M232"/>
    <mergeCell ref="N232:U232"/>
    <mergeCell ref="V232:AA232"/>
    <mergeCell ref="AB232:AF232"/>
    <mergeCell ref="AG232:AV232"/>
    <mergeCell ref="AW232:BD232"/>
    <mergeCell ref="BE232:BL232"/>
    <mergeCell ref="BM232:BT232"/>
    <mergeCell ref="BU232:CB232"/>
    <mergeCell ref="CC232:CJ232"/>
    <mergeCell ref="CK232:CR232"/>
    <mergeCell ref="CS232:CT232"/>
    <mergeCell ref="CU232:CZ232"/>
    <mergeCell ref="DJ232:DT232"/>
    <mergeCell ref="A231:M231"/>
    <mergeCell ref="N231:U231"/>
    <mergeCell ref="V231:AA231"/>
    <mergeCell ref="AB231:AF231"/>
    <mergeCell ref="AG231:AV231"/>
    <mergeCell ref="AW231:BD231"/>
    <mergeCell ref="BE231:BL231"/>
    <mergeCell ref="BM231:BT231"/>
    <mergeCell ref="BU231:CB231"/>
    <mergeCell ref="DA231:DB231"/>
    <mergeCell ref="DC231:DI231"/>
    <mergeCell ref="DA232:DB232"/>
    <mergeCell ref="DC232:DI232"/>
    <mergeCell ref="CC229:CJ229"/>
    <mergeCell ref="CK229:CR229"/>
    <mergeCell ref="CS229:CT229"/>
    <mergeCell ref="CU229:CZ229"/>
    <mergeCell ref="DJ229:DT229"/>
    <mergeCell ref="A230:M230"/>
    <mergeCell ref="N230:U230"/>
    <mergeCell ref="V230:AA230"/>
    <mergeCell ref="AB230:AF230"/>
    <mergeCell ref="AG230:AV230"/>
    <mergeCell ref="AW230:BD230"/>
    <mergeCell ref="BE230:BL230"/>
    <mergeCell ref="BM230:BT230"/>
    <mergeCell ref="BU230:CB230"/>
    <mergeCell ref="CC230:CJ230"/>
    <mergeCell ref="CK230:CR230"/>
    <mergeCell ref="CS230:CT230"/>
    <mergeCell ref="CU230:CZ230"/>
    <mergeCell ref="DJ230:DT230"/>
    <mergeCell ref="DA229:DB229"/>
    <mergeCell ref="DC229:DI229"/>
    <mergeCell ref="DA230:DB230"/>
    <mergeCell ref="A229:M229"/>
    <mergeCell ref="N229:U229"/>
    <mergeCell ref="V229:AA229"/>
    <mergeCell ref="AB229:AF229"/>
    <mergeCell ref="AG229:AV229"/>
    <mergeCell ref="AW229:BD229"/>
    <mergeCell ref="BE229:BL229"/>
    <mergeCell ref="BM229:BT229"/>
    <mergeCell ref="BU229:CB229"/>
    <mergeCell ref="DC230:DI230"/>
    <mergeCell ref="CC227:CJ227"/>
    <mergeCell ref="CK227:CR227"/>
    <mergeCell ref="CS227:CT227"/>
    <mergeCell ref="CU227:CZ227"/>
    <mergeCell ref="DJ227:DT227"/>
    <mergeCell ref="A228:M228"/>
    <mergeCell ref="N228:U228"/>
    <mergeCell ref="V228:AA228"/>
    <mergeCell ref="AB228:AF228"/>
    <mergeCell ref="AG228:AV228"/>
    <mergeCell ref="AW228:BD228"/>
    <mergeCell ref="BE228:BL228"/>
    <mergeCell ref="BM228:BT228"/>
    <mergeCell ref="BU228:CB228"/>
    <mergeCell ref="CC228:CJ228"/>
    <mergeCell ref="CK228:CR228"/>
    <mergeCell ref="CS228:CT228"/>
    <mergeCell ref="CU228:CZ228"/>
    <mergeCell ref="DJ228:DT228"/>
    <mergeCell ref="A227:M227"/>
    <mergeCell ref="N227:U227"/>
    <mergeCell ref="V227:AA227"/>
    <mergeCell ref="AB227:AF227"/>
    <mergeCell ref="AG227:AV227"/>
    <mergeCell ref="AW227:BD227"/>
    <mergeCell ref="BE227:BL227"/>
    <mergeCell ref="BM227:BT227"/>
    <mergeCell ref="BU227:CB227"/>
    <mergeCell ref="DA227:DB227"/>
    <mergeCell ref="DC227:DI227"/>
    <mergeCell ref="DA228:DB228"/>
    <mergeCell ref="DC228:DI228"/>
    <mergeCell ref="CC225:CJ225"/>
    <mergeCell ref="CK225:CR225"/>
    <mergeCell ref="CS225:CT225"/>
    <mergeCell ref="CU225:CZ225"/>
    <mergeCell ref="DJ225:DT225"/>
    <mergeCell ref="A226:M226"/>
    <mergeCell ref="N226:U226"/>
    <mergeCell ref="V226:AA226"/>
    <mergeCell ref="AB226:AF226"/>
    <mergeCell ref="AG226:AV226"/>
    <mergeCell ref="AW226:BD226"/>
    <mergeCell ref="BE226:BL226"/>
    <mergeCell ref="BM226:BT226"/>
    <mergeCell ref="BU226:CB226"/>
    <mergeCell ref="CC226:CJ226"/>
    <mergeCell ref="CK226:CR226"/>
    <mergeCell ref="CS226:CT226"/>
    <mergeCell ref="CU226:CZ226"/>
    <mergeCell ref="DJ226:DT226"/>
    <mergeCell ref="A225:M225"/>
    <mergeCell ref="N225:U225"/>
    <mergeCell ref="V225:AA225"/>
    <mergeCell ref="AB225:AF225"/>
    <mergeCell ref="AG225:AV225"/>
    <mergeCell ref="AW225:BD225"/>
    <mergeCell ref="BE225:BL225"/>
    <mergeCell ref="BM225:BT225"/>
    <mergeCell ref="BU225:CB225"/>
    <mergeCell ref="DA225:DB225"/>
    <mergeCell ref="DC225:DI225"/>
    <mergeCell ref="DA226:DB226"/>
    <mergeCell ref="DC226:DI226"/>
    <mergeCell ref="CC223:CJ223"/>
    <mergeCell ref="CK223:CR223"/>
    <mergeCell ref="CS223:CT223"/>
    <mergeCell ref="CU223:CZ223"/>
    <mergeCell ref="DJ223:DT223"/>
    <mergeCell ref="A224:M224"/>
    <mergeCell ref="N224:U224"/>
    <mergeCell ref="V224:AA224"/>
    <mergeCell ref="AB224:AF224"/>
    <mergeCell ref="AG224:AV224"/>
    <mergeCell ref="AW224:BD224"/>
    <mergeCell ref="BE224:BL224"/>
    <mergeCell ref="BM224:BT224"/>
    <mergeCell ref="BU224:CB224"/>
    <mergeCell ref="CC224:CJ224"/>
    <mergeCell ref="CK224:CR224"/>
    <mergeCell ref="CS224:CT224"/>
    <mergeCell ref="CU224:CZ224"/>
    <mergeCell ref="DJ224:DT224"/>
    <mergeCell ref="DA223:DB223"/>
    <mergeCell ref="DC223:DI223"/>
    <mergeCell ref="DA224:DB224"/>
    <mergeCell ref="A223:M223"/>
    <mergeCell ref="N223:U223"/>
    <mergeCell ref="V223:AA223"/>
    <mergeCell ref="AB223:AF223"/>
    <mergeCell ref="AG223:AV223"/>
    <mergeCell ref="AW223:BD223"/>
    <mergeCell ref="BE223:BL223"/>
    <mergeCell ref="BM223:BT223"/>
    <mergeCell ref="BU223:CB223"/>
    <mergeCell ref="DC224:DI224"/>
    <mergeCell ref="CC221:CJ221"/>
    <mergeCell ref="CK221:CR221"/>
    <mergeCell ref="CS221:CT221"/>
    <mergeCell ref="CU221:CZ221"/>
    <mergeCell ref="DJ221:DT221"/>
    <mergeCell ref="A222:M222"/>
    <mergeCell ref="N222:U222"/>
    <mergeCell ref="V222:AA222"/>
    <mergeCell ref="AB222:AF222"/>
    <mergeCell ref="AG222:AV222"/>
    <mergeCell ref="AW222:BD222"/>
    <mergeCell ref="BE222:BL222"/>
    <mergeCell ref="BM222:BT222"/>
    <mergeCell ref="BU222:CB222"/>
    <mergeCell ref="CC222:CJ222"/>
    <mergeCell ref="CK222:CR222"/>
    <mergeCell ref="CS222:CT222"/>
    <mergeCell ref="CU222:CZ222"/>
    <mergeCell ref="DJ222:DT222"/>
    <mergeCell ref="A221:M221"/>
    <mergeCell ref="N221:U221"/>
    <mergeCell ref="V221:AA221"/>
    <mergeCell ref="AB221:AF221"/>
    <mergeCell ref="AG221:AV221"/>
    <mergeCell ref="AW221:BD221"/>
    <mergeCell ref="BE221:BL221"/>
    <mergeCell ref="BM221:BT221"/>
    <mergeCell ref="BU221:CB221"/>
    <mergeCell ref="DA221:DB221"/>
    <mergeCell ref="DC221:DI221"/>
    <mergeCell ref="DA222:DB222"/>
    <mergeCell ref="DC222:DI222"/>
    <mergeCell ref="CC219:CJ219"/>
    <mergeCell ref="CK219:CR219"/>
    <mergeCell ref="CS219:CT219"/>
    <mergeCell ref="CU219:CZ219"/>
    <mergeCell ref="DJ219:DT219"/>
    <mergeCell ref="A220:M220"/>
    <mergeCell ref="N220:U220"/>
    <mergeCell ref="V220:AA220"/>
    <mergeCell ref="AB220:AF220"/>
    <mergeCell ref="AG220:AV220"/>
    <mergeCell ref="AW220:BD220"/>
    <mergeCell ref="BE220:BL220"/>
    <mergeCell ref="BM220:BT220"/>
    <mergeCell ref="BU220:CB220"/>
    <mergeCell ref="CC220:CJ220"/>
    <mergeCell ref="CK220:CR220"/>
    <mergeCell ref="CS220:CT220"/>
    <mergeCell ref="CU220:CZ220"/>
    <mergeCell ref="DJ220:DT220"/>
    <mergeCell ref="A219:M219"/>
    <mergeCell ref="N219:U219"/>
    <mergeCell ref="V219:AA219"/>
    <mergeCell ref="AB219:AF219"/>
    <mergeCell ref="AG219:AV219"/>
    <mergeCell ref="AW219:BD219"/>
    <mergeCell ref="BE219:BL219"/>
    <mergeCell ref="BM219:BT219"/>
    <mergeCell ref="BU219:CB219"/>
    <mergeCell ref="DA219:DB219"/>
    <mergeCell ref="DC219:DI219"/>
    <mergeCell ref="DA220:DB220"/>
    <mergeCell ref="DC220:DI220"/>
    <mergeCell ref="CC217:CJ217"/>
    <mergeCell ref="CK217:CR217"/>
    <mergeCell ref="CS217:CT217"/>
    <mergeCell ref="CU217:CZ217"/>
    <mergeCell ref="DJ217:DT217"/>
    <mergeCell ref="A218:M218"/>
    <mergeCell ref="N218:U218"/>
    <mergeCell ref="V218:AA218"/>
    <mergeCell ref="AB218:AF218"/>
    <mergeCell ref="AG218:AV218"/>
    <mergeCell ref="AW218:BD218"/>
    <mergeCell ref="BE218:BL218"/>
    <mergeCell ref="BM218:BT218"/>
    <mergeCell ref="BU218:CB218"/>
    <mergeCell ref="CC218:CJ218"/>
    <mergeCell ref="CK218:CR218"/>
    <mergeCell ref="CS218:CT218"/>
    <mergeCell ref="CU218:CZ218"/>
    <mergeCell ref="DJ218:DT218"/>
    <mergeCell ref="DA217:DB217"/>
    <mergeCell ref="DC217:DI217"/>
    <mergeCell ref="DA218:DB218"/>
    <mergeCell ref="A217:M217"/>
    <mergeCell ref="N217:U217"/>
    <mergeCell ref="V217:AA217"/>
    <mergeCell ref="AB217:AF217"/>
    <mergeCell ref="AG217:AV217"/>
    <mergeCell ref="AW217:BD217"/>
    <mergeCell ref="BE217:BL217"/>
    <mergeCell ref="BM217:BT217"/>
    <mergeCell ref="BU217:CB217"/>
    <mergeCell ref="DC218:DI218"/>
    <mergeCell ref="CC215:CJ215"/>
    <mergeCell ref="CK215:CR215"/>
    <mergeCell ref="CS215:CT215"/>
    <mergeCell ref="CU215:CZ215"/>
    <mergeCell ref="DJ215:DT215"/>
    <mergeCell ref="A216:M216"/>
    <mergeCell ref="N216:U216"/>
    <mergeCell ref="V216:AA216"/>
    <mergeCell ref="AB216:AF216"/>
    <mergeCell ref="AG216:AV216"/>
    <mergeCell ref="AW216:BD216"/>
    <mergeCell ref="BE216:BL216"/>
    <mergeCell ref="BM216:BT216"/>
    <mergeCell ref="BU216:CB216"/>
    <mergeCell ref="CC216:CJ216"/>
    <mergeCell ref="CK216:CR216"/>
    <mergeCell ref="CS216:CT216"/>
    <mergeCell ref="CU216:CZ216"/>
    <mergeCell ref="DJ216:DT216"/>
    <mergeCell ref="A215:M215"/>
    <mergeCell ref="N215:U215"/>
    <mergeCell ref="V215:AA215"/>
    <mergeCell ref="AB215:AF215"/>
    <mergeCell ref="AG215:AV215"/>
    <mergeCell ref="AW215:BD215"/>
    <mergeCell ref="BE215:BL215"/>
    <mergeCell ref="BM215:BT215"/>
    <mergeCell ref="BU215:CB215"/>
    <mergeCell ref="DA215:DB215"/>
    <mergeCell ref="DC215:DI215"/>
    <mergeCell ref="DA216:DB216"/>
    <mergeCell ref="DC216:DI216"/>
    <mergeCell ref="CC213:CJ213"/>
    <mergeCell ref="CK213:CR213"/>
    <mergeCell ref="CS213:CT213"/>
    <mergeCell ref="CU213:CZ213"/>
    <mergeCell ref="DJ213:DT213"/>
    <mergeCell ref="A214:M214"/>
    <mergeCell ref="N214:U214"/>
    <mergeCell ref="V214:AA214"/>
    <mergeCell ref="AB214:AF214"/>
    <mergeCell ref="AG214:AV214"/>
    <mergeCell ref="AW214:BD214"/>
    <mergeCell ref="BE214:BL214"/>
    <mergeCell ref="BM214:BT214"/>
    <mergeCell ref="BU214:CB214"/>
    <mergeCell ref="CC214:CJ214"/>
    <mergeCell ref="CK214:CR214"/>
    <mergeCell ref="CS214:CT214"/>
    <mergeCell ref="CU214:CZ214"/>
    <mergeCell ref="DJ214:DT214"/>
    <mergeCell ref="A213:M213"/>
    <mergeCell ref="N213:U213"/>
    <mergeCell ref="V213:AA213"/>
    <mergeCell ref="AB213:AF213"/>
    <mergeCell ref="AG213:AV213"/>
    <mergeCell ref="AW213:BD213"/>
    <mergeCell ref="BE213:BL213"/>
    <mergeCell ref="BM213:BT213"/>
    <mergeCell ref="BU213:CB213"/>
    <mergeCell ref="DA213:DB213"/>
    <mergeCell ref="DC213:DI213"/>
    <mergeCell ref="DA214:DB214"/>
    <mergeCell ref="DC214:DI214"/>
    <mergeCell ref="CC211:CJ211"/>
    <mergeCell ref="CK211:CR211"/>
    <mergeCell ref="CS211:CT211"/>
    <mergeCell ref="CU211:CZ211"/>
    <mergeCell ref="DJ211:DT211"/>
    <mergeCell ref="A212:M212"/>
    <mergeCell ref="N212:U212"/>
    <mergeCell ref="V212:AA212"/>
    <mergeCell ref="AB212:AF212"/>
    <mergeCell ref="AG212:AV212"/>
    <mergeCell ref="AW212:BD212"/>
    <mergeCell ref="BE212:BL212"/>
    <mergeCell ref="BM212:BT212"/>
    <mergeCell ref="BU212:CB212"/>
    <mergeCell ref="CC212:CJ212"/>
    <mergeCell ref="CK212:CR212"/>
    <mergeCell ref="CS212:CT212"/>
    <mergeCell ref="CU212:CZ212"/>
    <mergeCell ref="DJ212:DT212"/>
    <mergeCell ref="DA211:DB211"/>
    <mergeCell ref="DC211:DI211"/>
    <mergeCell ref="DA212:DB212"/>
    <mergeCell ref="A211:M211"/>
    <mergeCell ref="N211:U211"/>
    <mergeCell ref="V211:AA211"/>
    <mergeCell ref="AB211:AF211"/>
    <mergeCell ref="AG211:AV211"/>
    <mergeCell ref="AW211:BD211"/>
    <mergeCell ref="BE211:BL211"/>
    <mergeCell ref="BM211:BT211"/>
    <mergeCell ref="BU211:CB211"/>
    <mergeCell ref="DC212:DI212"/>
    <mergeCell ref="CC209:CJ209"/>
    <mergeCell ref="CK209:CR209"/>
    <mergeCell ref="CS209:CZ209"/>
    <mergeCell ref="DA209:DI209"/>
    <mergeCell ref="DJ209:DT209"/>
    <mergeCell ref="A210:M210"/>
    <mergeCell ref="N210:U210"/>
    <mergeCell ref="V210:AA210"/>
    <mergeCell ref="AB210:AF210"/>
    <mergeCell ref="AG210:AV210"/>
    <mergeCell ref="AW210:BD210"/>
    <mergeCell ref="BE210:BL210"/>
    <mergeCell ref="BM210:BT210"/>
    <mergeCell ref="BU210:CB210"/>
    <mergeCell ref="CC210:CJ210"/>
    <mergeCell ref="CK210:CR210"/>
    <mergeCell ref="CS210:CT210"/>
    <mergeCell ref="CU210:CZ210"/>
    <mergeCell ref="DJ210:DT210"/>
    <mergeCell ref="DA210:DB210"/>
    <mergeCell ref="DC210:DI210"/>
    <mergeCell ref="A209:M209"/>
    <mergeCell ref="N209:U209"/>
    <mergeCell ref="V209:AA209"/>
    <mergeCell ref="AB209:AF209"/>
    <mergeCell ref="AG209:AV209"/>
    <mergeCell ref="AW209:BD209"/>
    <mergeCell ref="BE209:BL209"/>
    <mergeCell ref="BM209:BT209"/>
    <mergeCell ref="BU209:CB209"/>
    <mergeCell ref="A205:DT205"/>
    <mergeCell ref="A206:BA206"/>
    <mergeCell ref="A208:M208"/>
    <mergeCell ref="N208:U208"/>
    <mergeCell ref="V208:AA208"/>
    <mergeCell ref="AB208:AF208"/>
    <mergeCell ref="AG208:AV208"/>
    <mergeCell ref="AW208:CR208"/>
    <mergeCell ref="CS208:CZ208"/>
    <mergeCell ref="DA208:DI208"/>
    <mergeCell ref="DJ208:DT208"/>
    <mergeCell ref="DJ197:DO197"/>
    <mergeCell ref="DP197:DS197"/>
    <mergeCell ref="A202:X202"/>
    <mergeCell ref="A203:E203"/>
    <mergeCell ref="G203:AE203"/>
    <mergeCell ref="AF203:AK203"/>
    <mergeCell ref="AM203:BG203"/>
    <mergeCell ref="BU203:BY203"/>
    <mergeCell ref="CA203:CI203"/>
    <mergeCell ref="CJ203:CN203"/>
    <mergeCell ref="CP203:CX203"/>
    <mergeCell ref="DG203:DK203"/>
    <mergeCell ref="DM203:DT203"/>
    <mergeCell ref="CC195:CJ195"/>
    <mergeCell ref="CK195:CR195"/>
    <mergeCell ref="CS195:CT195"/>
    <mergeCell ref="CU195:CZ195"/>
    <mergeCell ref="DJ195:DT195"/>
    <mergeCell ref="P196:CY196"/>
    <mergeCell ref="DA196:DB196"/>
    <mergeCell ref="DC196:DT196"/>
    <mergeCell ref="DA195:DB195"/>
    <mergeCell ref="DC195:DI195"/>
    <mergeCell ref="A195:M195"/>
    <mergeCell ref="N195:U195"/>
    <mergeCell ref="V195:AA195"/>
    <mergeCell ref="AB195:AF195"/>
    <mergeCell ref="AG195:AV195"/>
    <mergeCell ref="AW195:BD195"/>
    <mergeCell ref="BE195:BL195"/>
    <mergeCell ref="BM195:BT195"/>
    <mergeCell ref="BU195:CB195"/>
    <mergeCell ref="CC193:CJ193"/>
    <mergeCell ref="CK193:CR193"/>
    <mergeCell ref="CS193:CT193"/>
    <mergeCell ref="CU193:CZ193"/>
    <mergeCell ref="DJ193:DT193"/>
    <mergeCell ref="A194:M194"/>
    <mergeCell ref="N194:U194"/>
    <mergeCell ref="V194:AA194"/>
    <mergeCell ref="AB194:AF194"/>
    <mergeCell ref="AG194:AV194"/>
    <mergeCell ref="AW194:BD194"/>
    <mergeCell ref="BE194:BL194"/>
    <mergeCell ref="BM194:BT194"/>
    <mergeCell ref="BU194:CB194"/>
    <mergeCell ref="CC194:CJ194"/>
    <mergeCell ref="CK194:CR194"/>
    <mergeCell ref="CS194:CT194"/>
    <mergeCell ref="CU194:CZ194"/>
    <mergeCell ref="DJ194:DT194"/>
    <mergeCell ref="A193:M193"/>
    <mergeCell ref="N193:U193"/>
    <mergeCell ref="V193:AA193"/>
    <mergeCell ref="AB193:AF193"/>
    <mergeCell ref="AG193:AV193"/>
    <mergeCell ref="AW193:BD193"/>
    <mergeCell ref="BE193:BL193"/>
    <mergeCell ref="BM193:BT193"/>
    <mergeCell ref="BU193:CB193"/>
    <mergeCell ref="DA193:DB193"/>
    <mergeCell ref="DC193:DI193"/>
    <mergeCell ref="DA194:DB194"/>
    <mergeCell ref="DC194:DI194"/>
    <mergeCell ref="CC191:CJ191"/>
    <mergeCell ref="CK191:CR191"/>
    <mergeCell ref="CS191:CT191"/>
    <mergeCell ref="CU191:CZ191"/>
    <mergeCell ref="DJ191:DT191"/>
    <mergeCell ref="A192:M192"/>
    <mergeCell ref="N192:U192"/>
    <mergeCell ref="V192:AA192"/>
    <mergeCell ref="AB192:AF192"/>
    <mergeCell ref="AG192:AV192"/>
    <mergeCell ref="AW192:BD192"/>
    <mergeCell ref="BE192:BL192"/>
    <mergeCell ref="BM192:BT192"/>
    <mergeCell ref="BU192:CB192"/>
    <mergeCell ref="CC192:CJ192"/>
    <mergeCell ref="CK192:CR192"/>
    <mergeCell ref="CS192:CT192"/>
    <mergeCell ref="CU192:CZ192"/>
    <mergeCell ref="DJ192:DT192"/>
    <mergeCell ref="A191:M191"/>
    <mergeCell ref="N191:U191"/>
    <mergeCell ref="V191:AA191"/>
    <mergeCell ref="AB191:AF191"/>
    <mergeCell ref="AG191:AV191"/>
    <mergeCell ref="AW191:BD191"/>
    <mergeCell ref="BE191:BL191"/>
    <mergeCell ref="BM191:BT191"/>
    <mergeCell ref="BU191:CB191"/>
    <mergeCell ref="DA191:DB191"/>
    <mergeCell ref="DC191:DI191"/>
    <mergeCell ref="DA192:DB192"/>
    <mergeCell ref="DC192:DI192"/>
    <mergeCell ref="CC189:CJ189"/>
    <mergeCell ref="CK189:CR189"/>
    <mergeCell ref="CS189:CT189"/>
    <mergeCell ref="CU189:CZ189"/>
    <mergeCell ref="DJ189:DT189"/>
    <mergeCell ref="A190:M190"/>
    <mergeCell ref="N190:U190"/>
    <mergeCell ref="V190:AA190"/>
    <mergeCell ref="AB190:AF190"/>
    <mergeCell ref="AG190:AV190"/>
    <mergeCell ref="AW190:BD190"/>
    <mergeCell ref="BE190:BL190"/>
    <mergeCell ref="BM190:BT190"/>
    <mergeCell ref="BU190:CB190"/>
    <mergeCell ref="CC190:CJ190"/>
    <mergeCell ref="CK190:CR190"/>
    <mergeCell ref="CS190:CT190"/>
    <mergeCell ref="CU190:CZ190"/>
    <mergeCell ref="DJ190:DT190"/>
    <mergeCell ref="DA189:DB189"/>
    <mergeCell ref="DC189:DI189"/>
    <mergeCell ref="DA190:DB190"/>
    <mergeCell ref="A189:M189"/>
    <mergeCell ref="N189:U189"/>
    <mergeCell ref="V189:AA189"/>
    <mergeCell ref="AB189:AF189"/>
    <mergeCell ref="AG189:AV189"/>
    <mergeCell ref="AW189:BD189"/>
    <mergeCell ref="BE189:BL189"/>
    <mergeCell ref="BM189:BT189"/>
    <mergeCell ref="BU189:CB189"/>
    <mergeCell ref="DC190:DI190"/>
    <mergeCell ref="CC187:CJ187"/>
    <mergeCell ref="CK187:CR187"/>
    <mergeCell ref="CS187:CT187"/>
    <mergeCell ref="CU187:CZ187"/>
    <mergeCell ref="DJ187:DT187"/>
    <mergeCell ref="A188:M188"/>
    <mergeCell ref="N188:U188"/>
    <mergeCell ref="V188:AA188"/>
    <mergeCell ref="AB188:AF188"/>
    <mergeCell ref="AG188:AV188"/>
    <mergeCell ref="AW188:BD188"/>
    <mergeCell ref="BE188:BL188"/>
    <mergeCell ref="BM188:BT188"/>
    <mergeCell ref="BU188:CB188"/>
    <mergeCell ref="CC188:CJ188"/>
    <mergeCell ref="CK188:CR188"/>
    <mergeCell ref="CS188:CT188"/>
    <mergeCell ref="CU188:CZ188"/>
    <mergeCell ref="DJ188:DT188"/>
    <mergeCell ref="A187:M187"/>
    <mergeCell ref="N187:U187"/>
    <mergeCell ref="V187:AA187"/>
    <mergeCell ref="AB187:AF187"/>
    <mergeCell ref="AG187:AV187"/>
    <mergeCell ref="AW187:BD187"/>
    <mergeCell ref="BE187:BL187"/>
    <mergeCell ref="BM187:BT187"/>
    <mergeCell ref="BU187:CB187"/>
    <mergeCell ref="DA187:DB187"/>
    <mergeCell ref="DC187:DI187"/>
    <mergeCell ref="DA188:DB188"/>
    <mergeCell ref="DC188:DI188"/>
    <mergeCell ref="CC185:CJ185"/>
    <mergeCell ref="CK185:CR185"/>
    <mergeCell ref="CS185:CT185"/>
    <mergeCell ref="CU185:CZ185"/>
    <mergeCell ref="DJ185:DT185"/>
    <mergeCell ref="A186:M186"/>
    <mergeCell ref="N186:U186"/>
    <mergeCell ref="V186:AA186"/>
    <mergeCell ref="AB186:AF186"/>
    <mergeCell ref="AG186:AV186"/>
    <mergeCell ref="AW186:BD186"/>
    <mergeCell ref="BE186:BL186"/>
    <mergeCell ref="BM186:BT186"/>
    <mergeCell ref="BU186:CB186"/>
    <mergeCell ref="CC186:CJ186"/>
    <mergeCell ref="CK186:CR186"/>
    <mergeCell ref="CS186:CT186"/>
    <mergeCell ref="CU186:CZ186"/>
    <mergeCell ref="DJ186:DT186"/>
    <mergeCell ref="A185:M185"/>
    <mergeCell ref="N185:U185"/>
    <mergeCell ref="V185:AA185"/>
    <mergeCell ref="AB185:AF185"/>
    <mergeCell ref="AG185:AV185"/>
    <mergeCell ref="AW185:BD185"/>
    <mergeCell ref="BE185:BL185"/>
    <mergeCell ref="BM185:BT185"/>
    <mergeCell ref="BU185:CB185"/>
    <mergeCell ref="DA185:DB185"/>
    <mergeCell ref="DC185:DI185"/>
    <mergeCell ref="DA186:DB186"/>
    <mergeCell ref="DC186:DI186"/>
    <mergeCell ref="CC183:CJ183"/>
    <mergeCell ref="CK183:CR183"/>
    <mergeCell ref="CS183:CT183"/>
    <mergeCell ref="CU183:CZ183"/>
    <mergeCell ref="DJ183:DT183"/>
    <mergeCell ref="A184:M184"/>
    <mergeCell ref="N184:U184"/>
    <mergeCell ref="V184:AA184"/>
    <mergeCell ref="AB184:AF184"/>
    <mergeCell ref="AG184:AV184"/>
    <mergeCell ref="AW184:BD184"/>
    <mergeCell ref="BE184:BL184"/>
    <mergeCell ref="BM184:BT184"/>
    <mergeCell ref="BU184:CB184"/>
    <mergeCell ref="CC184:CJ184"/>
    <mergeCell ref="CK184:CR184"/>
    <mergeCell ref="CS184:CT184"/>
    <mergeCell ref="CU184:CZ184"/>
    <mergeCell ref="DJ184:DT184"/>
    <mergeCell ref="DA183:DB183"/>
    <mergeCell ref="DC183:DI183"/>
    <mergeCell ref="DA184:DB184"/>
    <mergeCell ref="A183:M183"/>
    <mergeCell ref="N183:U183"/>
    <mergeCell ref="V183:AA183"/>
    <mergeCell ref="AB183:AF183"/>
    <mergeCell ref="AG183:AV183"/>
    <mergeCell ref="AW183:BD183"/>
    <mergeCell ref="BE183:BL183"/>
    <mergeCell ref="BM183:BT183"/>
    <mergeCell ref="BU183:CB183"/>
    <mergeCell ref="DC184:DI184"/>
    <mergeCell ref="CC181:CJ181"/>
    <mergeCell ref="CK181:CR181"/>
    <mergeCell ref="CS181:CT181"/>
    <mergeCell ref="CU181:CZ181"/>
    <mergeCell ref="DJ181:DT181"/>
    <mergeCell ref="A182:M182"/>
    <mergeCell ref="N182:U182"/>
    <mergeCell ref="V182:AA182"/>
    <mergeCell ref="AB182:AF182"/>
    <mergeCell ref="AG182:AV182"/>
    <mergeCell ref="AW182:BD182"/>
    <mergeCell ref="BE182:BL182"/>
    <mergeCell ref="BM182:BT182"/>
    <mergeCell ref="BU182:CB182"/>
    <mergeCell ref="CC182:CJ182"/>
    <mergeCell ref="CK182:CR182"/>
    <mergeCell ref="CS182:CT182"/>
    <mergeCell ref="CU182:CZ182"/>
    <mergeCell ref="DJ182:DT182"/>
    <mergeCell ref="A181:M181"/>
    <mergeCell ref="N181:U181"/>
    <mergeCell ref="V181:AA181"/>
    <mergeCell ref="AB181:AF181"/>
    <mergeCell ref="AG181:AV181"/>
    <mergeCell ref="AW181:BD181"/>
    <mergeCell ref="BE181:BL181"/>
    <mergeCell ref="BM181:BT181"/>
    <mergeCell ref="BU181:CB181"/>
    <mergeCell ref="DA181:DB181"/>
    <mergeCell ref="DC181:DI181"/>
    <mergeCell ref="DA182:DB182"/>
    <mergeCell ref="DC182:DI182"/>
    <mergeCell ref="CC179:CJ179"/>
    <mergeCell ref="CK179:CR179"/>
    <mergeCell ref="CS179:CT179"/>
    <mergeCell ref="CU179:CZ179"/>
    <mergeCell ref="DJ179:DT179"/>
    <mergeCell ref="A180:M180"/>
    <mergeCell ref="N180:U180"/>
    <mergeCell ref="V180:AA180"/>
    <mergeCell ref="AB180:AF180"/>
    <mergeCell ref="AG180:AV180"/>
    <mergeCell ref="AW180:BD180"/>
    <mergeCell ref="BE180:BL180"/>
    <mergeCell ref="BM180:BT180"/>
    <mergeCell ref="BU180:CB180"/>
    <mergeCell ref="CC180:CJ180"/>
    <mergeCell ref="CK180:CR180"/>
    <mergeCell ref="CS180:CT180"/>
    <mergeCell ref="CU180:CZ180"/>
    <mergeCell ref="DJ180:DT180"/>
    <mergeCell ref="A179:M179"/>
    <mergeCell ref="N179:U179"/>
    <mergeCell ref="V179:AA179"/>
    <mergeCell ref="AB179:AF179"/>
    <mergeCell ref="AG179:AV179"/>
    <mergeCell ref="AW179:BD179"/>
    <mergeCell ref="BE179:BL179"/>
    <mergeCell ref="BM179:BT179"/>
    <mergeCell ref="BU179:CB179"/>
    <mergeCell ref="DA179:DB179"/>
    <mergeCell ref="DC179:DI179"/>
    <mergeCell ref="DA180:DB180"/>
    <mergeCell ref="DC180:DI180"/>
    <mergeCell ref="CC177:CJ177"/>
    <mergeCell ref="CK177:CR177"/>
    <mergeCell ref="CS177:CT177"/>
    <mergeCell ref="CU177:CZ177"/>
    <mergeCell ref="DJ177:DT177"/>
    <mergeCell ref="A178:M178"/>
    <mergeCell ref="N178:U178"/>
    <mergeCell ref="V178:AA178"/>
    <mergeCell ref="AB178:AF178"/>
    <mergeCell ref="AG178:AV178"/>
    <mergeCell ref="AW178:BD178"/>
    <mergeCell ref="BE178:BL178"/>
    <mergeCell ref="BM178:BT178"/>
    <mergeCell ref="BU178:CB178"/>
    <mergeCell ref="CC178:CJ178"/>
    <mergeCell ref="CK178:CR178"/>
    <mergeCell ref="CS178:CT178"/>
    <mergeCell ref="CU178:CZ178"/>
    <mergeCell ref="DJ178:DT178"/>
    <mergeCell ref="DA177:DB177"/>
    <mergeCell ref="DC177:DI177"/>
    <mergeCell ref="DA178:DB178"/>
    <mergeCell ref="A177:M177"/>
    <mergeCell ref="N177:U177"/>
    <mergeCell ref="V177:AA177"/>
    <mergeCell ref="AB177:AF177"/>
    <mergeCell ref="AG177:AV177"/>
    <mergeCell ref="AW177:BD177"/>
    <mergeCell ref="BE177:BL177"/>
    <mergeCell ref="BM177:BT177"/>
    <mergeCell ref="BU177:CB177"/>
    <mergeCell ref="DC178:DI178"/>
    <mergeCell ref="CC175:CJ175"/>
    <mergeCell ref="CK175:CR175"/>
    <mergeCell ref="CS175:CT175"/>
    <mergeCell ref="CU175:CZ175"/>
    <mergeCell ref="DJ175:DT175"/>
    <mergeCell ref="A176:M176"/>
    <mergeCell ref="N176:U176"/>
    <mergeCell ref="V176:AA176"/>
    <mergeCell ref="AB176:AF176"/>
    <mergeCell ref="AG176:AV176"/>
    <mergeCell ref="AW176:BD176"/>
    <mergeCell ref="BE176:BL176"/>
    <mergeCell ref="BM176:BT176"/>
    <mergeCell ref="BU176:CB176"/>
    <mergeCell ref="CC176:CJ176"/>
    <mergeCell ref="CK176:CR176"/>
    <mergeCell ref="CS176:CT176"/>
    <mergeCell ref="CU176:CZ176"/>
    <mergeCell ref="DJ176:DT176"/>
    <mergeCell ref="A175:M175"/>
    <mergeCell ref="N175:U175"/>
    <mergeCell ref="V175:AA175"/>
    <mergeCell ref="AB175:AF175"/>
    <mergeCell ref="AG175:AV175"/>
    <mergeCell ref="AW175:BD175"/>
    <mergeCell ref="BE175:BL175"/>
    <mergeCell ref="BM175:BT175"/>
    <mergeCell ref="BU175:CB175"/>
    <mergeCell ref="DA175:DB175"/>
    <mergeCell ref="DC175:DI175"/>
    <mergeCell ref="DA176:DB176"/>
    <mergeCell ref="DC176:DI176"/>
    <mergeCell ref="CC173:CJ173"/>
    <mergeCell ref="CK173:CR173"/>
    <mergeCell ref="CS173:CT173"/>
    <mergeCell ref="CU173:CZ173"/>
    <mergeCell ref="DJ173:DT173"/>
    <mergeCell ref="A174:M174"/>
    <mergeCell ref="N174:U174"/>
    <mergeCell ref="V174:AA174"/>
    <mergeCell ref="AB174:AF174"/>
    <mergeCell ref="AG174:AV174"/>
    <mergeCell ref="AW174:BD174"/>
    <mergeCell ref="BE174:BL174"/>
    <mergeCell ref="BM174:BT174"/>
    <mergeCell ref="BU174:CB174"/>
    <mergeCell ref="CC174:CJ174"/>
    <mergeCell ref="CK174:CR174"/>
    <mergeCell ref="CS174:CT174"/>
    <mergeCell ref="CU174:CZ174"/>
    <mergeCell ref="DJ174:DT174"/>
    <mergeCell ref="A173:M173"/>
    <mergeCell ref="N173:U173"/>
    <mergeCell ref="V173:AA173"/>
    <mergeCell ref="AB173:AF173"/>
    <mergeCell ref="AG173:AV173"/>
    <mergeCell ref="AW173:BD173"/>
    <mergeCell ref="BE173:BL173"/>
    <mergeCell ref="BM173:BT173"/>
    <mergeCell ref="BU173:CB173"/>
    <mergeCell ref="DA173:DB173"/>
    <mergeCell ref="DC173:DI173"/>
    <mergeCell ref="DA174:DB174"/>
    <mergeCell ref="DC174:DI174"/>
    <mergeCell ref="CC171:CJ171"/>
    <mergeCell ref="CK171:CR171"/>
    <mergeCell ref="CS171:CT171"/>
    <mergeCell ref="CU171:CZ171"/>
    <mergeCell ref="DJ171:DT171"/>
    <mergeCell ref="A172:M172"/>
    <mergeCell ref="N172:U172"/>
    <mergeCell ref="V172:AA172"/>
    <mergeCell ref="AB172:AF172"/>
    <mergeCell ref="AG172:AV172"/>
    <mergeCell ref="AW172:BD172"/>
    <mergeCell ref="BE172:BL172"/>
    <mergeCell ref="BM172:BT172"/>
    <mergeCell ref="BU172:CB172"/>
    <mergeCell ref="CC172:CJ172"/>
    <mergeCell ref="CK172:CR172"/>
    <mergeCell ref="CS172:CT172"/>
    <mergeCell ref="CU172:CZ172"/>
    <mergeCell ref="DJ172:DT172"/>
    <mergeCell ref="DA171:DB171"/>
    <mergeCell ref="DC171:DI171"/>
    <mergeCell ref="DA172:DB172"/>
    <mergeCell ref="A171:M171"/>
    <mergeCell ref="N171:U171"/>
    <mergeCell ref="V171:AA171"/>
    <mergeCell ref="AB171:AF171"/>
    <mergeCell ref="AG171:AV171"/>
    <mergeCell ref="AW171:BD171"/>
    <mergeCell ref="BE171:BL171"/>
    <mergeCell ref="BM171:BT171"/>
    <mergeCell ref="BU171:CB171"/>
    <mergeCell ref="DC172:DI172"/>
    <mergeCell ref="CC169:CJ169"/>
    <mergeCell ref="CK169:CR169"/>
    <mergeCell ref="CS169:CZ169"/>
    <mergeCell ref="DA169:DI169"/>
    <mergeCell ref="DJ169:DT169"/>
    <mergeCell ref="A170:M170"/>
    <mergeCell ref="N170:U170"/>
    <mergeCell ref="V170:AA170"/>
    <mergeCell ref="AB170:AF170"/>
    <mergeCell ref="AG170:AV170"/>
    <mergeCell ref="AW170:BD170"/>
    <mergeCell ref="BE170:BL170"/>
    <mergeCell ref="BM170:BT170"/>
    <mergeCell ref="BU170:CB170"/>
    <mergeCell ref="CC170:CJ170"/>
    <mergeCell ref="CK170:CR170"/>
    <mergeCell ref="CS170:CT170"/>
    <mergeCell ref="CU170:CZ170"/>
    <mergeCell ref="DJ170:DT170"/>
    <mergeCell ref="DA170:DB170"/>
    <mergeCell ref="DC170:DI170"/>
    <mergeCell ref="A169:M169"/>
    <mergeCell ref="N169:U169"/>
    <mergeCell ref="V169:AA169"/>
    <mergeCell ref="AB169:AF169"/>
    <mergeCell ref="AG169:AV169"/>
    <mergeCell ref="AW169:BD169"/>
    <mergeCell ref="BE169:BL169"/>
    <mergeCell ref="BM169:BT169"/>
    <mergeCell ref="BU169:CB169"/>
    <mergeCell ref="A165:DT165"/>
    <mergeCell ref="A166:BA166"/>
    <mergeCell ref="A168:M168"/>
    <mergeCell ref="N168:U168"/>
    <mergeCell ref="V168:AA168"/>
    <mergeCell ref="AB168:AF168"/>
    <mergeCell ref="AG168:AV168"/>
    <mergeCell ref="AW168:CR168"/>
    <mergeCell ref="CS168:CZ168"/>
    <mergeCell ref="DA168:DI168"/>
    <mergeCell ref="DJ168:DT168"/>
    <mergeCell ref="DJ157:DO157"/>
    <mergeCell ref="DP157:DS157"/>
    <mergeCell ref="A162:X162"/>
    <mergeCell ref="A163:E163"/>
    <mergeCell ref="G163:AE163"/>
    <mergeCell ref="AF163:AK163"/>
    <mergeCell ref="AM163:BG163"/>
    <mergeCell ref="BU163:BY163"/>
    <mergeCell ref="CA163:CI163"/>
    <mergeCell ref="CJ163:CN163"/>
    <mergeCell ref="CP163:CX163"/>
    <mergeCell ref="DG163:DK163"/>
    <mergeCell ref="DM163:DT163"/>
    <mergeCell ref="CC155:CJ155"/>
    <mergeCell ref="CK155:CR155"/>
    <mergeCell ref="CS155:CT155"/>
    <mergeCell ref="CU155:CZ155"/>
    <mergeCell ref="DJ155:DT155"/>
    <mergeCell ref="P156:CY156"/>
    <mergeCell ref="DA156:DB156"/>
    <mergeCell ref="DC156:DT156"/>
    <mergeCell ref="DA155:DB155"/>
    <mergeCell ref="DC155:DI155"/>
    <mergeCell ref="A155:M155"/>
    <mergeCell ref="N155:U155"/>
    <mergeCell ref="V155:AA155"/>
    <mergeCell ref="AB155:AF155"/>
    <mergeCell ref="AG155:AV155"/>
    <mergeCell ref="AW155:BD155"/>
    <mergeCell ref="BE155:BL155"/>
    <mergeCell ref="BM155:BT155"/>
    <mergeCell ref="BU155:CB155"/>
    <mergeCell ref="CC153:CJ153"/>
    <mergeCell ref="CK153:CR153"/>
    <mergeCell ref="CS153:CT153"/>
    <mergeCell ref="CU153:CZ153"/>
    <mergeCell ref="DJ153:DT153"/>
    <mergeCell ref="A154:M154"/>
    <mergeCell ref="N154:U154"/>
    <mergeCell ref="V154:AA154"/>
    <mergeCell ref="AB154:AF154"/>
    <mergeCell ref="AG154:AV154"/>
    <mergeCell ref="AW154:BD154"/>
    <mergeCell ref="BE154:BL154"/>
    <mergeCell ref="BM154:BT154"/>
    <mergeCell ref="BU154:CB154"/>
    <mergeCell ref="CC154:CJ154"/>
    <mergeCell ref="CK154:CR154"/>
    <mergeCell ref="CS154:CT154"/>
    <mergeCell ref="CU154:CZ154"/>
    <mergeCell ref="DJ154:DT154"/>
    <mergeCell ref="A153:M153"/>
    <mergeCell ref="N153:U153"/>
    <mergeCell ref="V153:AA153"/>
    <mergeCell ref="AB153:AF153"/>
    <mergeCell ref="AG153:AV153"/>
    <mergeCell ref="AW153:BD153"/>
    <mergeCell ref="BE153:BL153"/>
    <mergeCell ref="BM153:BT153"/>
    <mergeCell ref="BU153:CB153"/>
    <mergeCell ref="DA153:DB153"/>
    <mergeCell ref="DC153:DI153"/>
    <mergeCell ref="DA154:DB154"/>
    <mergeCell ref="DC154:DI154"/>
    <mergeCell ref="CC151:CJ151"/>
    <mergeCell ref="CK151:CR151"/>
    <mergeCell ref="CS151:CT151"/>
    <mergeCell ref="CU151:CZ151"/>
    <mergeCell ref="DJ151:DT151"/>
    <mergeCell ref="A152:M152"/>
    <mergeCell ref="N152:U152"/>
    <mergeCell ref="V152:AA152"/>
    <mergeCell ref="AB152:AF152"/>
    <mergeCell ref="AG152:AV152"/>
    <mergeCell ref="AW152:BD152"/>
    <mergeCell ref="BE152:BL152"/>
    <mergeCell ref="BM152:BT152"/>
    <mergeCell ref="BU152:CB152"/>
    <mergeCell ref="CC152:CJ152"/>
    <mergeCell ref="CK152:CR152"/>
    <mergeCell ref="CS152:CT152"/>
    <mergeCell ref="CU152:CZ152"/>
    <mergeCell ref="DJ152:DT152"/>
    <mergeCell ref="A151:M151"/>
    <mergeCell ref="N151:U151"/>
    <mergeCell ref="V151:AA151"/>
    <mergeCell ref="AB151:AF151"/>
    <mergeCell ref="AG151:AV151"/>
    <mergeCell ref="AW151:BD151"/>
    <mergeCell ref="BE151:BL151"/>
    <mergeCell ref="BM151:BT151"/>
    <mergeCell ref="BU151:CB151"/>
    <mergeCell ref="DA151:DB151"/>
    <mergeCell ref="DC151:DI151"/>
    <mergeCell ref="DA152:DB152"/>
    <mergeCell ref="DC152:DI152"/>
    <mergeCell ref="CC149:CJ149"/>
    <mergeCell ref="CK149:CR149"/>
    <mergeCell ref="CS149:CT149"/>
    <mergeCell ref="CU149:CZ149"/>
    <mergeCell ref="DJ149:DT149"/>
    <mergeCell ref="A150:M150"/>
    <mergeCell ref="N150:U150"/>
    <mergeCell ref="V150:AA150"/>
    <mergeCell ref="AB150:AF150"/>
    <mergeCell ref="AG150:AV150"/>
    <mergeCell ref="AW150:BD150"/>
    <mergeCell ref="BE150:BL150"/>
    <mergeCell ref="BM150:BT150"/>
    <mergeCell ref="BU150:CB150"/>
    <mergeCell ref="CC150:CJ150"/>
    <mergeCell ref="CK150:CR150"/>
    <mergeCell ref="CS150:CT150"/>
    <mergeCell ref="CU150:CZ150"/>
    <mergeCell ref="DJ150:DT150"/>
    <mergeCell ref="DA149:DB149"/>
    <mergeCell ref="DC149:DI149"/>
    <mergeCell ref="DA150:DB150"/>
    <mergeCell ref="A149:M149"/>
    <mergeCell ref="N149:U149"/>
    <mergeCell ref="V149:AA149"/>
    <mergeCell ref="AB149:AF149"/>
    <mergeCell ref="AG149:AV149"/>
    <mergeCell ref="AW149:BD149"/>
    <mergeCell ref="BE149:BL149"/>
    <mergeCell ref="BM149:BT149"/>
    <mergeCell ref="BU149:CB149"/>
    <mergeCell ref="DC150:DI150"/>
    <mergeCell ref="CC147:CJ147"/>
    <mergeCell ref="CK147:CR147"/>
    <mergeCell ref="CS147:CT147"/>
    <mergeCell ref="CU147:CZ147"/>
    <mergeCell ref="DJ147:DT147"/>
    <mergeCell ref="A148:M148"/>
    <mergeCell ref="N148:U148"/>
    <mergeCell ref="V148:AA148"/>
    <mergeCell ref="AB148:AF148"/>
    <mergeCell ref="AG148:AV148"/>
    <mergeCell ref="AW148:BD148"/>
    <mergeCell ref="BE148:BL148"/>
    <mergeCell ref="BM148:BT148"/>
    <mergeCell ref="BU148:CB148"/>
    <mergeCell ref="CC148:CJ148"/>
    <mergeCell ref="CK148:CR148"/>
    <mergeCell ref="CS148:CT148"/>
    <mergeCell ref="CU148:CZ148"/>
    <mergeCell ref="DJ148:DT148"/>
    <mergeCell ref="A147:M147"/>
    <mergeCell ref="N147:U147"/>
    <mergeCell ref="V147:AA147"/>
    <mergeCell ref="AB147:AF147"/>
    <mergeCell ref="AG147:AV147"/>
    <mergeCell ref="AW147:BD147"/>
    <mergeCell ref="BE147:BL147"/>
    <mergeCell ref="BM147:BT147"/>
    <mergeCell ref="BU147:CB147"/>
    <mergeCell ref="DA147:DB147"/>
    <mergeCell ref="DC147:DI147"/>
    <mergeCell ref="DA148:DB148"/>
    <mergeCell ref="DC148:DI148"/>
    <mergeCell ref="CC145:CJ145"/>
    <mergeCell ref="CK145:CR145"/>
    <mergeCell ref="CS145:CT145"/>
    <mergeCell ref="CU145:CZ145"/>
    <mergeCell ref="DJ145:DT145"/>
    <mergeCell ref="A146:M146"/>
    <mergeCell ref="N146:U146"/>
    <mergeCell ref="V146:AA146"/>
    <mergeCell ref="AB146:AF146"/>
    <mergeCell ref="AG146:AV146"/>
    <mergeCell ref="AW146:BD146"/>
    <mergeCell ref="BE146:BL146"/>
    <mergeCell ref="BM146:BT146"/>
    <mergeCell ref="BU146:CB146"/>
    <mergeCell ref="CC146:CJ146"/>
    <mergeCell ref="CK146:CR146"/>
    <mergeCell ref="CS146:CT146"/>
    <mergeCell ref="CU146:CZ146"/>
    <mergeCell ref="DJ146:DT146"/>
    <mergeCell ref="A145:M145"/>
    <mergeCell ref="N145:U145"/>
    <mergeCell ref="V145:AA145"/>
    <mergeCell ref="AB145:AF145"/>
    <mergeCell ref="AG145:AV145"/>
    <mergeCell ref="AW145:BD145"/>
    <mergeCell ref="BE145:BL145"/>
    <mergeCell ref="BM145:BT145"/>
    <mergeCell ref="BU145:CB145"/>
    <mergeCell ref="DA145:DB145"/>
    <mergeCell ref="DC145:DI145"/>
    <mergeCell ref="DA146:DB146"/>
    <mergeCell ref="DC146:DI146"/>
    <mergeCell ref="CC143:CJ143"/>
    <mergeCell ref="CK143:CR143"/>
    <mergeCell ref="CS143:CT143"/>
    <mergeCell ref="CU143:CZ143"/>
    <mergeCell ref="DJ143:DT143"/>
    <mergeCell ref="A144:M144"/>
    <mergeCell ref="N144:U144"/>
    <mergeCell ref="V144:AA144"/>
    <mergeCell ref="AB144:AF144"/>
    <mergeCell ref="AG144:AV144"/>
    <mergeCell ref="AW144:BD144"/>
    <mergeCell ref="BE144:BL144"/>
    <mergeCell ref="BM144:BT144"/>
    <mergeCell ref="BU144:CB144"/>
    <mergeCell ref="CC144:CJ144"/>
    <mergeCell ref="CK144:CR144"/>
    <mergeCell ref="CS144:CT144"/>
    <mergeCell ref="CU144:CZ144"/>
    <mergeCell ref="DJ144:DT144"/>
    <mergeCell ref="DA143:DB143"/>
    <mergeCell ref="DC143:DI143"/>
    <mergeCell ref="DA144:DB144"/>
    <mergeCell ref="A143:M143"/>
    <mergeCell ref="N143:U143"/>
    <mergeCell ref="V143:AA143"/>
    <mergeCell ref="AB143:AF143"/>
    <mergeCell ref="AG143:AV143"/>
    <mergeCell ref="AW143:BD143"/>
    <mergeCell ref="BE143:BL143"/>
    <mergeCell ref="BM143:BT143"/>
    <mergeCell ref="BU143:CB143"/>
    <mergeCell ref="DC144:DI144"/>
    <mergeCell ref="CC141:CJ141"/>
    <mergeCell ref="CK141:CR141"/>
    <mergeCell ref="CS141:CT141"/>
    <mergeCell ref="CU141:CZ141"/>
    <mergeCell ref="DJ141:DT141"/>
    <mergeCell ref="A142:M142"/>
    <mergeCell ref="N142:U142"/>
    <mergeCell ref="V142:AA142"/>
    <mergeCell ref="AB142:AF142"/>
    <mergeCell ref="AG142:AV142"/>
    <mergeCell ref="AW142:BD142"/>
    <mergeCell ref="BE142:BL142"/>
    <mergeCell ref="BM142:BT142"/>
    <mergeCell ref="BU142:CB142"/>
    <mergeCell ref="CC142:CJ142"/>
    <mergeCell ref="CK142:CR142"/>
    <mergeCell ref="CS142:CT142"/>
    <mergeCell ref="CU142:CZ142"/>
    <mergeCell ref="DJ142:DT142"/>
    <mergeCell ref="A141:M141"/>
    <mergeCell ref="N141:U141"/>
    <mergeCell ref="V141:AA141"/>
    <mergeCell ref="AB141:AF141"/>
    <mergeCell ref="AG141:AV141"/>
    <mergeCell ref="AW141:BD141"/>
    <mergeCell ref="BE141:BL141"/>
    <mergeCell ref="BM141:BT141"/>
    <mergeCell ref="BU141:CB141"/>
    <mergeCell ref="DA141:DB141"/>
    <mergeCell ref="DC141:DI141"/>
    <mergeCell ref="DA142:DB142"/>
    <mergeCell ref="DC142:DI142"/>
    <mergeCell ref="CC139:CJ139"/>
    <mergeCell ref="CK139:CR139"/>
    <mergeCell ref="CS139:CT139"/>
    <mergeCell ref="CU139:CZ139"/>
    <mergeCell ref="DJ139:DT139"/>
    <mergeCell ref="A140:M140"/>
    <mergeCell ref="N140:U140"/>
    <mergeCell ref="V140:AA140"/>
    <mergeCell ref="AB140:AF140"/>
    <mergeCell ref="AG140:AV140"/>
    <mergeCell ref="AW140:BD140"/>
    <mergeCell ref="BE140:BL140"/>
    <mergeCell ref="BM140:BT140"/>
    <mergeCell ref="BU140:CB140"/>
    <mergeCell ref="CC140:CJ140"/>
    <mergeCell ref="CK140:CR140"/>
    <mergeCell ref="CS140:CT140"/>
    <mergeCell ref="CU140:CZ140"/>
    <mergeCell ref="DJ140:DT140"/>
    <mergeCell ref="A139:M139"/>
    <mergeCell ref="N139:U139"/>
    <mergeCell ref="V139:AA139"/>
    <mergeCell ref="AB139:AF139"/>
    <mergeCell ref="AG139:AV139"/>
    <mergeCell ref="AW139:BD139"/>
    <mergeCell ref="BE139:BL139"/>
    <mergeCell ref="BM139:BT139"/>
    <mergeCell ref="BU139:CB139"/>
    <mergeCell ref="DA139:DB139"/>
    <mergeCell ref="DC139:DI139"/>
    <mergeCell ref="DA140:DB140"/>
    <mergeCell ref="DC140:DI140"/>
    <mergeCell ref="CC137:CJ137"/>
    <mergeCell ref="CK137:CR137"/>
    <mergeCell ref="CS137:CT137"/>
    <mergeCell ref="CU137:CZ137"/>
    <mergeCell ref="DJ137:DT137"/>
    <mergeCell ref="A138:M138"/>
    <mergeCell ref="N138:U138"/>
    <mergeCell ref="V138:AA138"/>
    <mergeCell ref="AB138:AF138"/>
    <mergeCell ref="AG138:AV138"/>
    <mergeCell ref="AW138:BD138"/>
    <mergeCell ref="BE138:BL138"/>
    <mergeCell ref="BM138:BT138"/>
    <mergeCell ref="BU138:CB138"/>
    <mergeCell ref="CC138:CJ138"/>
    <mergeCell ref="CK138:CR138"/>
    <mergeCell ref="CS138:CT138"/>
    <mergeCell ref="CU138:CZ138"/>
    <mergeCell ref="DJ138:DT138"/>
    <mergeCell ref="DA137:DB137"/>
    <mergeCell ref="DC137:DI137"/>
    <mergeCell ref="DA138:DB138"/>
    <mergeCell ref="A137:M137"/>
    <mergeCell ref="N137:U137"/>
    <mergeCell ref="V137:AA137"/>
    <mergeCell ref="AB137:AF137"/>
    <mergeCell ref="AG137:AV137"/>
    <mergeCell ref="AW137:BD137"/>
    <mergeCell ref="BE137:BL137"/>
    <mergeCell ref="BM137:BT137"/>
    <mergeCell ref="BU137:CB137"/>
    <mergeCell ref="DC138:DI138"/>
    <mergeCell ref="CC135:CJ135"/>
    <mergeCell ref="CK135:CR135"/>
    <mergeCell ref="CS135:CT135"/>
    <mergeCell ref="CU135:CZ135"/>
    <mergeCell ref="DJ135:DT135"/>
    <mergeCell ref="A136:M136"/>
    <mergeCell ref="N136:U136"/>
    <mergeCell ref="V136:AA136"/>
    <mergeCell ref="AB136:AF136"/>
    <mergeCell ref="AG136:AV136"/>
    <mergeCell ref="AW136:BD136"/>
    <mergeCell ref="BE136:BL136"/>
    <mergeCell ref="BM136:BT136"/>
    <mergeCell ref="BU136:CB136"/>
    <mergeCell ref="CC136:CJ136"/>
    <mergeCell ref="CK136:CR136"/>
    <mergeCell ref="CS136:CT136"/>
    <mergeCell ref="CU136:CZ136"/>
    <mergeCell ref="DJ136:DT136"/>
    <mergeCell ref="A135:M135"/>
    <mergeCell ref="N135:U135"/>
    <mergeCell ref="V135:AA135"/>
    <mergeCell ref="AB135:AF135"/>
    <mergeCell ref="AG135:AV135"/>
    <mergeCell ref="AW135:BD135"/>
    <mergeCell ref="BE135:BL135"/>
    <mergeCell ref="BM135:BT135"/>
    <mergeCell ref="BU135:CB135"/>
    <mergeCell ref="DA135:DB135"/>
    <mergeCell ref="DC135:DI135"/>
    <mergeCell ref="DA136:DB136"/>
    <mergeCell ref="DC136:DI136"/>
    <mergeCell ref="CC133:CJ133"/>
    <mergeCell ref="CK133:CR133"/>
    <mergeCell ref="CS133:CT133"/>
    <mergeCell ref="CU133:CZ133"/>
    <mergeCell ref="DJ133:DT133"/>
    <mergeCell ref="A134:M134"/>
    <mergeCell ref="N134:U134"/>
    <mergeCell ref="V134:AA134"/>
    <mergeCell ref="AB134:AF134"/>
    <mergeCell ref="AG134:AV134"/>
    <mergeCell ref="AW134:BD134"/>
    <mergeCell ref="BE134:BL134"/>
    <mergeCell ref="BM134:BT134"/>
    <mergeCell ref="BU134:CB134"/>
    <mergeCell ref="CC134:CJ134"/>
    <mergeCell ref="CK134:CR134"/>
    <mergeCell ref="CS134:CT134"/>
    <mergeCell ref="CU134:CZ134"/>
    <mergeCell ref="DJ134:DT134"/>
    <mergeCell ref="A133:M133"/>
    <mergeCell ref="N133:U133"/>
    <mergeCell ref="V133:AA133"/>
    <mergeCell ref="AB133:AF133"/>
    <mergeCell ref="AG133:AV133"/>
    <mergeCell ref="AW133:BD133"/>
    <mergeCell ref="BE133:BL133"/>
    <mergeCell ref="BM133:BT133"/>
    <mergeCell ref="BU133:CB133"/>
    <mergeCell ref="DA133:DB133"/>
    <mergeCell ref="DC133:DI133"/>
    <mergeCell ref="DA134:DB134"/>
    <mergeCell ref="DC134:DI134"/>
    <mergeCell ref="CC131:CJ131"/>
    <mergeCell ref="CK131:CR131"/>
    <mergeCell ref="CS131:CT131"/>
    <mergeCell ref="CU131:CZ131"/>
    <mergeCell ref="DJ131:DT131"/>
    <mergeCell ref="A132:M132"/>
    <mergeCell ref="N132:U132"/>
    <mergeCell ref="V132:AA132"/>
    <mergeCell ref="AB132:AF132"/>
    <mergeCell ref="AG132:AV132"/>
    <mergeCell ref="AW132:BD132"/>
    <mergeCell ref="BE132:BL132"/>
    <mergeCell ref="BM132:BT132"/>
    <mergeCell ref="BU132:CB132"/>
    <mergeCell ref="CC132:CJ132"/>
    <mergeCell ref="CK132:CR132"/>
    <mergeCell ref="CS132:CT132"/>
    <mergeCell ref="CU132:CZ132"/>
    <mergeCell ref="DJ132:DT132"/>
    <mergeCell ref="DA131:DB131"/>
    <mergeCell ref="DC131:DI131"/>
    <mergeCell ref="DA132:DB132"/>
    <mergeCell ref="A131:M131"/>
    <mergeCell ref="N131:U131"/>
    <mergeCell ref="V131:AA131"/>
    <mergeCell ref="AB131:AF131"/>
    <mergeCell ref="AG131:AV131"/>
    <mergeCell ref="AW131:BD131"/>
    <mergeCell ref="BE131:BL131"/>
    <mergeCell ref="BM131:BT131"/>
    <mergeCell ref="BU131:CB131"/>
    <mergeCell ref="DC132:DI132"/>
    <mergeCell ref="CC129:CJ129"/>
    <mergeCell ref="CK129:CR129"/>
    <mergeCell ref="CS129:CZ129"/>
    <mergeCell ref="DA129:DI129"/>
    <mergeCell ref="DJ129:DT129"/>
    <mergeCell ref="A130:M130"/>
    <mergeCell ref="N130:U130"/>
    <mergeCell ref="V130:AA130"/>
    <mergeCell ref="AB130:AF130"/>
    <mergeCell ref="AG130:AV130"/>
    <mergeCell ref="AW130:BD130"/>
    <mergeCell ref="BE130:BL130"/>
    <mergeCell ref="BM130:BT130"/>
    <mergeCell ref="BU130:CB130"/>
    <mergeCell ref="CC130:CJ130"/>
    <mergeCell ref="CK130:CR130"/>
    <mergeCell ref="CS130:CT130"/>
    <mergeCell ref="CU130:CZ130"/>
    <mergeCell ref="DJ130:DT130"/>
    <mergeCell ref="DA130:DB130"/>
    <mergeCell ref="DC130:DI130"/>
    <mergeCell ref="A129:M129"/>
    <mergeCell ref="N129:U129"/>
    <mergeCell ref="V129:AA129"/>
    <mergeCell ref="AB129:AF129"/>
    <mergeCell ref="AG129:AV129"/>
    <mergeCell ref="AW129:BD129"/>
    <mergeCell ref="BE129:BL129"/>
    <mergeCell ref="BM129:BT129"/>
    <mergeCell ref="BU129:CB129"/>
    <mergeCell ref="A125:DT125"/>
    <mergeCell ref="A126:BA126"/>
    <mergeCell ref="A128:M128"/>
    <mergeCell ref="N128:U128"/>
    <mergeCell ref="V128:AA128"/>
    <mergeCell ref="AB128:AF128"/>
    <mergeCell ref="AG128:AV128"/>
    <mergeCell ref="AW128:CR128"/>
    <mergeCell ref="CS128:CZ128"/>
    <mergeCell ref="DA128:DI128"/>
    <mergeCell ref="DJ128:DT128"/>
    <mergeCell ref="DJ117:DO117"/>
    <mergeCell ref="DP117:DS117"/>
    <mergeCell ref="A122:X122"/>
    <mergeCell ref="A123:E123"/>
    <mergeCell ref="G123:AE123"/>
    <mergeCell ref="AF123:AK123"/>
    <mergeCell ref="AM123:BG123"/>
    <mergeCell ref="BU123:BY123"/>
    <mergeCell ref="CA123:CI123"/>
    <mergeCell ref="CJ123:CN123"/>
    <mergeCell ref="CP123:CX123"/>
    <mergeCell ref="DG123:DK123"/>
    <mergeCell ref="DM123:DT123"/>
    <mergeCell ref="CC115:CJ115"/>
    <mergeCell ref="CK115:CR115"/>
    <mergeCell ref="CS115:CT115"/>
    <mergeCell ref="CU115:CZ115"/>
    <mergeCell ref="DJ115:DT115"/>
    <mergeCell ref="P116:CY116"/>
    <mergeCell ref="DA116:DB116"/>
    <mergeCell ref="DC116:DT116"/>
    <mergeCell ref="DA115:DB115"/>
    <mergeCell ref="DC115:DI115"/>
    <mergeCell ref="A115:M115"/>
    <mergeCell ref="N115:U115"/>
    <mergeCell ref="V115:AA115"/>
    <mergeCell ref="AB115:AF115"/>
    <mergeCell ref="AG115:AV115"/>
    <mergeCell ref="AW115:BD115"/>
    <mergeCell ref="BE115:BL115"/>
    <mergeCell ref="BM115:BT115"/>
    <mergeCell ref="BU115:CB115"/>
    <mergeCell ref="CC113:CJ113"/>
    <mergeCell ref="CK113:CR113"/>
    <mergeCell ref="CS113:CT113"/>
    <mergeCell ref="CU113:CZ113"/>
    <mergeCell ref="DJ113:DT113"/>
    <mergeCell ref="A114:M114"/>
    <mergeCell ref="N114:U114"/>
    <mergeCell ref="V114:AA114"/>
    <mergeCell ref="AB114:AF114"/>
    <mergeCell ref="AG114:AV114"/>
    <mergeCell ref="AW114:BD114"/>
    <mergeCell ref="BE114:BL114"/>
    <mergeCell ref="BM114:BT114"/>
    <mergeCell ref="BU114:CB114"/>
    <mergeCell ref="CC114:CJ114"/>
    <mergeCell ref="CK114:CR114"/>
    <mergeCell ref="CS114:CT114"/>
    <mergeCell ref="CU114:CZ114"/>
    <mergeCell ref="DJ114:DT114"/>
    <mergeCell ref="A113:M113"/>
    <mergeCell ref="N113:U113"/>
    <mergeCell ref="V113:AA113"/>
    <mergeCell ref="AB113:AF113"/>
    <mergeCell ref="AG113:AV113"/>
    <mergeCell ref="AW113:BD113"/>
    <mergeCell ref="BE113:BL113"/>
    <mergeCell ref="BM113:BT113"/>
    <mergeCell ref="BU113:CB113"/>
    <mergeCell ref="DA113:DB113"/>
    <mergeCell ref="DC113:DI113"/>
    <mergeCell ref="DA114:DB114"/>
    <mergeCell ref="DC114:DI114"/>
    <mergeCell ref="CC111:CJ111"/>
    <mergeCell ref="CK111:CR111"/>
    <mergeCell ref="CS111:CT111"/>
    <mergeCell ref="CU111:CZ111"/>
    <mergeCell ref="DJ111:DT111"/>
    <mergeCell ref="A112:M112"/>
    <mergeCell ref="N112:U112"/>
    <mergeCell ref="V112:AA112"/>
    <mergeCell ref="AB112:AF112"/>
    <mergeCell ref="AG112:AV112"/>
    <mergeCell ref="AW112:BD112"/>
    <mergeCell ref="BE112:BL112"/>
    <mergeCell ref="BM112:BT112"/>
    <mergeCell ref="BU112:CB112"/>
    <mergeCell ref="CC112:CJ112"/>
    <mergeCell ref="CK112:CR112"/>
    <mergeCell ref="CS112:CT112"/>
    <mergeCell ref="CU112:CZ112"/>
    <mergeCell ref="DJ112:DT112"/>
    <mergeCell ref="A111:M111"/>
    <mergeCell ref="N111:U111"/>
    <mergeCell ref="V111:AA111"/>
    <mergeCell ref="AB111:AF111"/>
    <mergeCell ref="AG111:AV111"/>
    <mergeCell ref="AW111:BD111"/>
    <mergeCell ref="BE111:BL111"/>
    <mergeCell ref="BM111:BT111"/>
    <mergeCell ref="BU111:CB111"/>
    <mergeCell ref="DA111:DB111"/>
    <mergeCell ref="DC111:DI111"/>
    <mergeCell ref="DA112:DB112"/>
    <mergeCell ref="DC112:DI112"/>
    <mergeCell ref="CC109:CJ109"/>
    <mergeCell ref="CK109:CR109"/>
    <mergeCell ref="CS109:CT109"/>
    <mergeCell ref="CU109:CZ109"/>
    <mergeCell ref="DJ109:DT109"/>
    <mergeCell ref="A110:M110"/>
    <mergeCell ref="N110:U110"/>
    <mergeCell ref="V110:AA110"/>
    <mergeCell ref="AB110:AF110"/>
    <mergeCell ref="AG110:AV110"/>
    <mergeCell ref="AW110:BD110"/>
    <mergeCell ref="BE110:BL110"/>
    <mergeCell ref="BM110:BT110"/>
    <mergeCell ref="BU110:CB110"/>
    <mergeCell ref="CC110:CJ110"/>
    <mergeCell ref="CK110:CR110"/>
    <mergeCell ref="CS110:CT110"/>
    <mergeCell ref="CU110:CZ110"/>
    <mergeCell ref="DJ110:DT110"/>
    <mergeCell ref="DA109:DB109"/>
    <mergeCell ref="DC109:DI109"/>
    <mergeCell ref="DA110:DB110"/>
    <mergeCell ref="A109:M109"/>
    <mergeCell ref="N109:U109"/>
    <mergeCell ref="V109:AA109"/>
    <mergeCell ref="AB109:AF109"/>
    <mergeCell ref="AG109:AV109"/>
    <mergeCell ref="AW109:BD109"/>
    <mergeCell ref="BE109:BL109"/>
    <mergeCell ref="BM109:BT109"/>
    <mergeCell ref="BU109:CB109"/>
    <mergeCell ref="DC110:DI110"/>
    <mergeCell ref="CC107:CJ107"/>
    <mergeCell ref="CK107:CR107"/>
    <mergeCell ref="CS107:CT107"/>
    <mergeCell ref="CU107:CZ107"/>
    <mergeCell ref="DJ107:DT107"/>
    <mergeCell ref="A108:M108"/>
    <mergeCell ref="N108:U108"/>
    <mergeCell ref="V108:AA108"/>
    <mergeCell ref="AB108:AF108"/>
    <mergeCell ref="AG108:AV108"/>
    <mergeCell ref="AW108:BD108"/>
    <mergeCell ref="BE108:BL108"/>
    <mergeCell ref="BM108:BT108"/>
    <mergeCell ref="BU108:CB108"/>
    <mergeCell ref="CC108:CJ108"/>
    <mergeCell ref="CK108:CR108"/>
    <mergeCell ref="CS108:CT108"/>
    <mergeCell ref="CU108:CZ108"/>
    <mergeCell ref="DJ108:DT108"/>
    <mergeCell ref="A107:M107"/>
    <mergeCell ref="N107:U107"/>
    <mergeCell ref="V107:AA107"/>
    <mergeCell ref="AB107:AF107"/>
    <mergeCell ref="AG107:AV107"/>
    <mergeCell ref="AW107:BD107"/>
    <mergeCell ref="BE107:BL107"/>
    <mergeCell ref="BM107:BT107"/>
    <mergeCell ref="BU107:CB107"/>
    <mergeCell ref="DA107:DB107"/>
    <mergeCell ref="DC107:DI107"/>
    <mergeCell ref="DA108:DB108"/>
    <mergeCell ref="DC108:DI108"/>
    <mergeCell ref="CC105:CJ105"/>
    <mergeCell ref="CK105:CR105"/>
    <mergeCell ref="CS105:CT105"/>
    <mergeCell ref="CU105:CZ105"/>
    <mergeCell ref="DJ105:DT105"/>
    <mergeCell ref="A106:M106"/>
    <mergeCell ref="N106:U106"/>
    <mergeCell ref="V106:AA106"/>
    <mergeCell ref="AB106:AF106"/>
    <mergeCell ref="AG106:AV106"/>
    <mergeCell ref="AW106:BD106"/>
    <mergeCell ref="BE106:BL106"/>
    <mergeCell ref="BM106:BT106"/>
    <mergeCell ref="BU106:CB106"/>
    <mergeCell ref="CC106:CJ106"/>
    <mergeCell ref="CK106:CR106"/>
    <mergeCell ref="CS106:CT106"/>
    <mergeCell ref="CU106:CZ106"/>
    <mergeCell ref="DJ106:DT106"/>
    <mergeCell ref="A105:M105"/>
    <mergeCell ref="N105:U105"/>
    <mergeCell ref="V105:AA105"/>
    <mergeCell ref="AB105:AF105"/>
    <mergeCell ref="AG105:AV105"/>
    <mergeCell ref="AW105:BD105"/>
    <mergeCell ref="BE105:BL105"/>
    <mergeCell ref="BM105:BT105"/>
    <mergeCell ref="BU105:CB105"/>
    <mergeCell ref="DA105:DB105"/>
    <mergeCell ref="DC105:DI105"/>
    <mergeCell ref="DA106:DB106"/>
    <mergeCell ref="DC106:DI106"/>
    <mergeCell ref="CC103:CJ103"/>
    <mergeCell ref="CK103:CR103"/>
    <mergeCell ref="CS103:CT103"/>
    <mergeCell ref="CU103:CZ103"/>
    <mergeCell ref="DJ103:DT103"/>
    <mergeCell ref="A104:M104"/>
    <mergeCell ref="N104:U104"/>
    <mergeCell ref="V104:AA104"/>
    <mergeCell ref="AB104:AF104"/>
    <mergeCell ref="AG104:AV104"/>
    <mergeCell ref="AW104:BD104"/>
    <mergeCell ref="BE104:BL104"/>
    <mergeCell ref="BM104:BT104"/>
    <mergeCell ref="BU104:CB104"/>
    <mergeCell ref="CC104:CJ104"/>
    <mergeCell ref="CK104:CR104"/>
    <mergeCell ref="CS104:CT104"/>
    <mergeCell ref="CU104:CZ104"/>
    <mergeCell ref="DJ104:DT104"/>
    <mergeCell ref="DA103:DB103"/>
    <mergeCell ref="DC103:DI103"/>
    <mergeCell ref="DA104:DB104"/>
    <mergeCell ref="A103:M103"/>
    <mergeCell ref="N103:U103"/>
    <mergeCell ref="V103:AA103"/>
    <mergeCell ref="AB103:AF103"/>
    <mergeCell ref="AG103:AV103"/>
    <mergeCell ref="AW103:BD103"/>
    <mergeCell ref="BE103:BL103"/>
    <mergeCell ref="BM103:BT103"/>
    <mergeCell ref="BU103:CB103"/>
    <mergeCell ref="DC104:DI104"/>
    <mergeCell ref="CC101:CJ101"/>
    <mergeCell ref="CK101:CR101"/>
    <mergeCell ref="CS101:CT101"/>
    <mergeCell ref="CU101:CZ101"/>
    <mergeCell ref="DJ101:DT101"/>
    <mergeCell ref="A102:M102"/>
    <mergeCell ref="N102:U102"/>
    <mergeCell ref="V102:AA102"/>
    <mergeCell ref="AB102:AF102"/>
    <mergeCell ref="AG102:AV102"/>
    <mergeCell ref="AW102:BD102"/>
    <mergeCell ref="BE102:BL102"/>
    <mergeCell ref="BM102:BT102"/>
    <mergeCell ref="BU102:CB102"/>
    <mergeCell ref="CC102:CJ102"/>
    <mergeCell ref="CK102:CR102"/>
    <mergeCell ref="CS102:CT102"/>
    <mergeCell ref="CU102:CZ102"/>
    <mergeCell ref="DJ102:DT102"/>
    <mergeCell ref="A101:M101"/>
    <mergeCell ref="N101:U101"/>
    <mergeCell ref="V101:AA101"/>
    <mergeCell ref="AB101:AF101"/>
    <mergeCell ref="AG101:AV101"/>
    <mergeCell ref="AW101:BD101"/>
    <mergeCell ref="BE101:BL101"/>
    <mergeCell ref="BM101:BT101"/>
    <mergeCell ref="BU101:CB101"/>
    <mergeCell ref="DA101:DB101"/>
    <mergeCell ref="DC101:DI101"/>
    <mergeCell ref="DA102:DB102"/>
    <mergeCell ref="DC102:DI102"/>
    <mergeCell ref="CC99:CJ99"/>
    <mergeCell ref="CK99:CR99"/>
    <mergeCell ref="CS99:CT99"/>
    <mergeCell ref="CU99:CZ99"/>
    <mergeCell ref="DJ99:DT99"/>
    <mergeCell ref="A100:M100"/>
    <mergeCell ref="N100:U100"/>
    <mergeCell ref="V100:AA100"/>
    <mergeCell ref="AB100:AF100"/>
    <mergeCell ref="AG100:AV100"/>
    <mergeCell ref="AW100:BD100"/>
    <mergeCell ref="BE100:BL100"/>
    <mergeCell ref="BM100:BT100"/>
    <mergeCell ref="BU100:CB100"/>
    <mergeCell ref="CC100:CJ100"/>
    <mergeCell ref="CK100:CR100"/>
    <mergeCell ref="CS100:CT100"/>
    <mergeCell ref="CU100:CZ100"/>
    <mergeCell ref="DJ100:DT100"/>
    <mergeCell ref="A99:M99"/>
    <mergeCell ref="N99:U99"/>
    <mergeCell ref="V99:AA99"/>
    <mergeCell ref="AB99:AF99"/>
    <mergeCell ref="AG99:AV99"/>
    <mergeCell ref="AW99:BD99"/>
    <mergeCell ref="BE99:BL99"/>
    <mergeCell ref="BM99:BT99"/>
    <mergeCell ref="BU99:CB99"/>
    <mergeCell ref="DA99:DB99"/>
    <mergeCell ref="DC99:DI99"/>
    <mergeCell ref="DA100:DB100"/>
    <mergeCell ref="DC100:DI100"/>
    <mergeCell ref="CC97:CJ97"/>
    <mergeCell ref="CK97:CR97"/>
    <mergeCell ref="CS97:CT97"/>
    <mergeCell ref="CU97:CZ97"/>
    <mergeCell ref="DJ97:DT97"/>
    <mergeCell ref="A98:M98"/>
    <mergeCell ref="N98:U98"/>
    <mergeCell ref="V98:AA98"/>
    <mergeCell ref="AB98:AF98"/>
    <mergeCell ref="AG98:AV98"/>
    <mergeCell ref="AW98:BD98"/>
    <mergeCell ref="BE98:BL98"/>
    <mergeCell ref="BM98:BT98"/>
    <mergeCell ref="BU98:CB98"/>
    <mergeCell ref="CC98:CJ98"/>
    <mergeCell ref="CK98:CR98"/>
    <mergeCell ref="CS98:CT98"/>
    <mergeCell ref="CU98:CZ98"/>
    <mergeCell ref="DJ98:DT98"/>
    <mergeCell ref="DA97:DB97"/>
    <mergeCell ref="DC97:DI97"/>
    <mergeCell ref="DA98:DB98"/>
    <mergeCell ref="A97:M97"/>
    <mergeCell ref="N97:U97"/>
    <mergeCell ref="V97:AA97"/>
    <mergeCell ref="AB97:AF97"/>
    <mergeCell ref="AG97:AV97"/>
    <mergeCell ref="AW97:BD97"/>
    <mergeCell ref="BE97:BL97"/>
    <mergeCell ref="BM97:BT97"/>
    <mergeCell ref="BU97:CB97"/>
    <mergeCell ref="DC98:DI98"/>
    <mergeCell ref="CC95:CJ95"/>
    <mergeCell ref="CK95:CR95"/>
    <mergeCell ref="CS95:CT95"/>
    <mergeCell ref="CU95:CZ95"/>
    <mergeCell ref="DJ95:DT95"/>
    <mergeCell ref="A96:M96"/>
    <mergeCell ref="N96:U96"/>
    <mergeCell ref="V96:AA96"/>
    <mergeCell ref="AB96:AF96"/>
    <mergeCell ref="AG96:AV96"/>
    <mergeCell ref="AW96:BD96"/>
    <mergeCell ref="BE96:BL96"/>
    <mergeCell ref="BM96:BT96"/>
    <mergeCell ref="BU96:CB96"/>
    <mergeCell ref="CC96:CJ96"/>
    <mergeCell ref="CK96:CR96"/>
    <mergeCell ref="CS96:CT96"/>
    <mergeCell ref="CU96:CZ96"/>
    <mergeCell ref="DJ96:DT96"/>
    <mergeCell ref="A95:M95"/>
    <mergeCell ref="N95:U95"/>
    <mergeCell ref="V95:AA95"/>
    <mergeCell ref="AB95:AF95"/>
    <mergeCell ref="AG95:AV95"/>
    <mergeCell ref="AW95:BD95"/>
    <mergeCell ref="BE95:BL95"/>
    <mergeCell ref="BM95:BT95"/>
    <mergeCell ref="BU95:CB95"/>
    <mergeCell ref="DA95:DB95"/>
    <mergeCell ref="DC95:DI95"/>
    <mergeCell ref="DA96:DB96"/>
    <mergeCell ref="DC96:DI96"/>
    <mergeCell ref="CC93:CJ93"/>
    <mergeCell ref="CK93:CR93"/>
    <mergeCell ref="CS93:CT93"/>
    <mergeCell ref="CU93:CZ93"/>
    <mergeCell ref="DJ93:DT93"/>
    <mergeCell ref="A94:M94"/>
    <mergeCell ref="N94:U94"/>
    <mergeCell ref="V94:AA94"/>
    <mergeCell ref="AB94:AF94"/>
    <mergeCell ref="AG94:AV94"/>
    <mergeCell ref="AW94:BD94"/>
    <mergeCell ref="BE94:BL94"/>
    <mergeCell ref="BM94:BT94"/>
    <mergeCell ref="BU94:CB94"/>
    <mergeCell ref="CC94:CJ94"/>
    <mergeCell ref="CK94:CR94"/>
    <mergeCell ref="CS94:CT94"/>
    <mergeCell ref="CU94:CZ94"/>
    <mergeCell ref="DJ94:DT94"/>
    <mergeCell ref="A93:M93"/>
    <mergeCell ref="N93:U93"/>
    <mergeCell ref="V93:AA93"/>
    <mergeCell ref="AB93:AF93"/>
    <mergeCell ref="AG93:AV93"/>
    <mergeCell ref="AW93:BD93"/>
    <mergeCell ref="BE93:BL93"/>
    <mergeCell ref="BM93:BT93"/>
    <mergeCell ref="BU93:CB93"/>
    <mergeCell ref="DA93:DB93"/>
    <mergeCell ref="DC93:DI93"/>
    <mergeCell ref="DA94:DB94"/>
    <mergeCell ref="DC94:DI94"/>
    <mergeCell ref="CC91:CJ91"/>
    <mergeCell ref="CK91:CR91"/>
    <mergeCell ref="CS91:CT91"/>
    <mergeCell ref="CU91:CZ91"/>
    <mergeCell ref="DJ91:DT91"/>
    <mergeCell ref="A92:M92"/>
    <mergeCell ref="N92:U92"/>
    <mergeCell ref="V92:AA92"/>
    <mergeCell ref="AB92:AF92"/>
    <mergeCell ref="AG92:AV92"/>
    <mergeCell ref="AW92:BD92"/>
    <mergeCell ref="BE92:BL92"/>
    <mergeCell ref="BM92:BT92"/>
    <mergeCell ref="BU92:CB92"/>
    <mergeCell ref="CC92:CJ92"/>
    <mergeCell ref="CK92:CR92"/>
    <mergeCell ref="CS92:CT92"/>
    <mergeCell ref="CU92:CZ92"/>
    <mergeCell ref="DJ92:DT92"/>
    <mergeCell ref="DA91:DB91"/>
    <mergeCell ref="DC91:DI91"/>
    <mergeCell ref="DA92:DB92"/>
    <mergeCell ref="A91:M91"/>
    <mergeCell ref="N91:U91"/>
    <mergeCell ref="V91:AA91"/>
    <mergeCell ref="AB91:AF91"/>
    <mergeCell ref="AG91:AV91"/>
    <mergeCell ref="AW91:BD91"/>
    <mergeCell ref="BE91:BL91"/>
    <mergeCell ref="BM91:BT91"/>
    <mergeCell ref="BU91:CB91"/>
    <mergeCell ref="DC92:DI92"/>
    <mergeCell ref="CC89:CJ89"/>
    <mergeCell ref="CK89:CR89"/>
    <mergeCell ref="CS89:CZ89"/>
    <mergeCell ref="DA89:DI89"/>
    <mergeCell ref="DJ89:DT89"/>
    <mergeCell ref="A90:M90"/>
    <mergeCell ref="N90:U90"/>
    <mergeCell ref="V90:AA90"/>
    <mergeCell ref="AB90:AF90"/>
    <mergeCell ref="AG90:AV90"/>
    <mergeCell ref="AW90:BD90"/>
    <mergeCell ref="BE90:BL90"/>
    <mergeCell ref="BM90:BT90"/>
    <mergeCell ref="BU90:CB90"/>
    <mergeCell ref="CC90:CJ90"/>
    <mergeCell ref="CK90:CR90"/>
    <mergeCell ref="CS90:CT90"/>
    <mergeCell ref="CU90:CZ90"/>
    <mergeCell ref="DJ90:DT90"/>
    <mergeCell ref="DA90:DB90"/>
    <mergeCell ref="DC90:DI90"/>
    <mergeCell ref="A89:M89"/>
    <mergeCell ref="N89:U89"/>
    <mergeCell ref="V89:AA89"/>
    <mergeCell ref="AB89:AF89"/>
    <mergeCell ref="AG89:AV89"/>
    <mergeCell ref="AW89:BD89"/>
    <mergeCell ref="BE89:BL89"/>
    <mergeCell ref="BM89:BT89"/>
    <mergeCell ref="BU89:CB89"/>
    <mergeCell ref="A85:DT85"/>
    <mergeCell ref="A86:BA86"/>
    <mergeCell ref="A88:M88"/>
    <mergeCell ref="N88:U88"/>
    <mergeCell ref="V88:AA88"/>
    <mergeCell ref="AB88:AF88"/>
    <mergeCell ref="AG88:AV88"/>
    <mergeCell ref="AW88:CR88"/>
    <mergeCell ref="CS88:CZ88"/>
    <mergeCell ref="DA88:DI88"/>
    <mergeCell ref="DJ88:DT88"/>
    <mergeCell ref="BU64:CB64"/>
    <mergeCell ref="BU66:CB66"/>
    <mergeCell ref="BU67:CB67"/>
    <mergeCell ref="BU68:CB68"/>
    <mergeCell ref="BU70:CB70"/>
    <mergeCell ref="DA76:DB76"/>
    <mergeCell ref="DC76:DT76"/>
    <mergeCell ref="A82:X82"/>
    <mergeCell ref="A83:E83"/>
    <mergeCell ref="G83:AE83"/>
    <mergeCell ref="AF83:AK83"/>
    <mergeCell ref="AM83:BG83"/>
    <mergeCell ref="BU83:BY83"/>
    <mergeCell ref="CA83:CI83"/>
    <mergeCell ref="CJ83:CN83"/>
    <mergeCell ref="CP83:CX83"/>
    <mergeCell ref="DG83:DK83"/>
    <mergeCell ref="DM83:DT83"/>
    <mergeCell ref="DA68:DB68"/>
    <mergeCell ref="DC68:DI68"/>
    <mergeCell ref="DA69:DB69"/>
    <mergeCell ref="DC28:DI28"/>
    <mergeCell ref="DA29:DB29"/>
    <mergeCell ref="DC29:DI29"/>
    <mergeCell ref="DA30:DB30"/>
    <mergeCell ref="DC30:DI30"/>
    <mergeCell ref="DA31:DB31"/>
    <mergeCell ref="DC31:DI31"/>
    <mergeCell ref="DA32:DB32"/>
    <mergeCell ref="DC32:DI32"/>
    <mergeCell ref="DC23:DI23"/>
    <mergeCell ref="DA24:DB24"/>
    <mergeCell ref="DC24:DI24"/>
    <mergeCell ref="DA25:DB25"/>
    <mergeCell ref="DC25:DI25"/>
    <mergeCell ref="DA26:DB26"/>
    <mergeCell ref="DC26:DI26"/>
    <mergeCell ref="DA27:DB27"/>
    <mergeCell ref="DC27:DI27"/>
    <mergeCell ref="DC16:DI16"/>
    <mergeCell ref="DA17:DB17"/>
    <mergeCell ref="DC17:DI17"/>
    <mergeCell ref="DA18:DB18"/>
    <mergeCell ref="DC18:DI18"/>
    <mergeCell ref="DA19:DB19"/>
    <mergeCell ref="DC19:DI19"/>
    <mergeCell ref="DA20:DB20"/>
    <mergeCell ref="DC20:DI20"/>
    <mergeCell ref="DC11:DI11"/>
    <mergeCell ref="DA12:DB12"/>
    <mergeCell ref="DC12:DI12"/>
    <mergeCell ref="DA13:DB13"/>
    <mergeCell ref="DC13:DI13"/>
    <mergeCell ref="DA14:DB14"/>
    <mergeCell ref="DC14:DI14"/>
    <mergeCell ref="DA15:DB15"/>
    <mergeCell ref="DC15:DI15"/>
    <mergeCell ref="CC75:CJ75"/>
    <mergeCell ref="CK75:CR75"/>
    <mergeCell ref="DJ75:DT75"/>
    <mergeCell ref="P76:CY76"/>
    <mergeCell ref="DJ77:DO77"/>
    <mergeCell ref="DP77:DS77"/>
    <mergeCell ref="CS75:CT75"/>
    <mergeCell ref="CU75:CZ75"/>
    <mergeCell ref="A75:M75"/>
    <mergeCell ref="N75:U75"/>
    <mergeCell ref="V75:AA75"/>
    <mergeCell ref="AB75:AF75"/>
    <mergeCell ref="AG75:AV75"/>
    <mergeCell ref="AW75:BD75"/>
    <mergeCell ref="BE75:BL75"/>
    <mergeCell ref="BM75:BT75"/>
    <mergeCell ref="BU75:CB75"/>
    <mergeCell ref="CC74:CJ74"/>
    <mergeCell ref="CK74:CR74"/>
    <mergeCell ref="DJ74:DT74"/>
    <mergeCell ref="A73:M73"/>
    <mergeCell ref="N73:U73"/>
    <mergeCell ref="V73:AA73"/>
    <mergeCell ref="AB73:AF73"/>
    <mergeCell ref="AG73:AV73"/>
    <mergeCell ref="CS73:CT73"/>
    <mergeCell ref="CU73:CZ73"/>
    <mergeCell ref="CS74:CT74"/>
    <mergeCell ref="CU74:CZ74"/>
    <mergeCell ref="A74:M74"/>
    <mergeCell ref="N74:U74"/>
    <mergeCell ref="V74:AA74"/>
    <mergeCell ref="AB74:AF74"/>
    <mergeCell ref="AG74:AV74"/>
    <mergeCell ref="AW74:BD74"/>
    <mergeCell ref="BE74:BL74"/>
    <mergeCell ref="BM74:BT74"/>
    <mergeCell ref="BU74:CB74"/>
    <mergeCell ref="AW73:BD73"/>
    <mergeCell ref="BE73:BL73"/>
    <mergeCell ref="BM73:BT73"/>
    <mergeCell ref="BU73:CB73"/>
    <mergeCell ref="CC71:CJ71"/>
    <mergeCell ref="CK71:CR71"/>
    <mergeCell ref="DJ71:DT71"/>
    <mergeCell ref="CC72:CJ72"/>
    <mergeCell ref="CK72:CR72"/>
    <mergeCell ref="DJ72:DT72"/>
    <mergeCell ref="CC73:CJ73"/>
    <mergeCell ref="CK73:CR73"/>
    <mergeCell ref="DJ73:DT73"/>
    <mergeCell ref="CS71:CT71"/>
    <mergeCell ref="CU71:CZ71"/>
    <mergeCell ref="CS72:CT72"/>
    <mergeCell ref="CU72:CZ72"/>
    <mergeCell ref="DA71:DB71"/>
    <mergeCell ref="A72:M72"/>
    <mergeCell ref="N72:U72"/>
    <mergeCell ref="V72:AA72"/>
    <mergeCell ref="AB72:AF72"/>
    <mergeCell ref="AG72:AV72"/>
    <mergeCell ref="AW72:BD72"/>
    <mergeCell ref="BE72:BL72"/>
    <mergeCell ref="BM72:BT72"/>
    <mergeCell ref="BU72:CB72"/>
    <mergeCell ref="A71:M71"/>
    <mergeCell ref="N71:U71"/>
    <mergeCell ref="V71:AA71"/>
    <mergeCell ref="AB71:AF71"/>
    <mergeCell ref="AG71:AV71"/>
    <mergeCell ref="AW71:BD71"/>
    <mergeCell ref="BE71:BL71"/>
    <mergeCell ref="BU71:CB71"/>
    <mergeCell ref="BM71:BT71"/>
    <mergeCell ref="CC70:CJ70"/>
    <mergeCell ref="CK70:CR70"/>
    <mergeCell ref="DJ70:DT70"/>
    <mergeCell ref="A69:M69"/>
    <mergeCell ref="N69:U69"/>
    <mergeCell ref="V69:AA69"/>
    <mergeCell ref="AB69:AF69"/>
    <mergeCell ref="AG69:AV69"/>
    <mergeCell ref="CS69:CT69"/>
    <mergeCell ref="CU69:CZ69"/>
    <mergeCell ref="CS70:CT70"/>
    <mergeCell ref="CU70:CZ70"/>
    <mergeCell ref="A70:M70"/>
    <mergeCell ref="N70:U70"/>
    <mergeCell ref="V70:AA70"/>
    <mergeCell ref="AB70:AF70"/>
    <mergeCell ref="AG70:AV70"/>
    <mergeCell ref="AW70:BD70"/>
    <mergeCell ref="BE70:BL70"/>
    <mergeCell ref="AW69:BD69"/>
    <mergeCell ref="BE69:BL69"/>
    <mergeCell ref="BM70:BT70"/>
    <mergeCell ref="BU69:CB69"/>
    <mergeCell ref="CC67:CJ67"/>
    <mergeCell ref="CK67:CR67"/>
    <mergeCell ref="DJ67:DT67"/>
    <mergeCell ref="CC68:CJ68"/>
    <mergeCell ref="CK68:CR68"/>
    <mergeCell ref="DJ68:DT68"/>
    <mergeCell ref="CC69:CJ69"/>
    <mergeCell ref="CK69:CR69"/>
    <mergeCell ref="DJ69:DT69"/>
    <mergeCell ref="CS67:CT67"/>
    <mergeCell ref="CU67:CZ67"/>
    <mergeCell ref="CS68:CT68"/>
    <mergeCell ref="CU68:CZ68"/>
    <mergeCell ref="A68:M68"/>
    <mergeCell ref="N68:U68"/>
    <mergeCell ref="V68:AA68"/>
    <mergeCell ref="AB68:AF68"/>
    <mergeCell ref="AG68:AV68"/>
    <mergeCell ref="AW68:BD68"/>
    <mergeCell ref="BE68:BL68"/>
    <mergeCell ref="BM69:BT69"/>
    <mergeCell ref="A67:M67"/>
    <mergeCell ref="N67:U67"/>
    <mergeCell ref="V67:AA67"/>
    <mergeCell ref="AB67:AF67"/>
    <mergeCell ref="AG67:AV67"/>
    <mergeCell ref="AW67:BD67"/>
    <mergeCell ref="BE67:BL67"/>
    <mergeCell ref="BM68:BT68"/>
    <mergeCell ref="BM67:BT67"/>
    <mergeCell ref="CC66:CJ66"/>
    <mergeCell ref="CK66:CR66"/>
    <mergeCell ref="DJ66:DT66"/>
    <mergeCell ref="A65:M65"/>
    <mergeCell ref="N65:U65"/>
    <mergeCell ref="V65:AA65"/>
    <mergeCell ref="AB65:AF65"/>
    <mergeCell ref="AG65:AV65"/>
    <mergeCell ref="CS65:CT65"/>
    <mergeCell ref="CU65:CZ65"/>
    <mergeCell ref="CS66:CT66"/>
    <mergeCell ref="CU66:CZ66"/>
    <mergeCell ref="A66:M66"/>
    <mergeCell ref="N66:U66"/>
    <mergeCell ref="V66:AA66"/>
    <mergeCell ref="AB66:AF66"/>
    <mergeCell ref="AG66:AV66"/>
    <mergeCell ref="AW66:BD66"/>
    <mergeCell ref="BE66:BL66"/>
    <mergeCell ref="AW65:BD65"/>
    <mergeCell ref="BE65:BL65"/>
    <mergeCell ref="BM66:BT66"/>
    <mergeCell ref="BU65:CB65"/>
    <mergeCell ref="CC63:CJ63"/>
    <mergeCell ref="CK63:CR63"/>
    <mergeCell ref="DJ63:DT63"/>
    <mergeCell ref="CC64:CJ64"/>
    <mergeCell ref="CK64:CR64"/>
    <mergeCell ref="DJ64:DT64"/>
    <mergeCell ref="CC65:CJ65"/>
    <mergeCell ref="CK65:CR65"/>
    <mergeCell ref="DJ65:DT65"/>
    <mergeCell ref="CS63:CT63"/>
    <mergeCell ref="CU63:CZ63"/>
    <mergeCell ref="CS64:CT64"/>
    <mergeCell ref="CU64:CZ64"/>
    <mergeCell ref="BU63:CB63"/>
    <mergeCell ref="A64:M64"/>
    <mergeCell ref="N64:U64"/>
    <mergeCell ref="V64:AA64"/>
    <mergeCell ref="AB64:AF64"/>
    <mergeCell ref="AG64:AV64"/>
    <mergeCell ref="AW64:BD64"/>
    <mergeCell ref="BE64:BL64"/>
    <mergeCell ref="BM65:BT65"/>
    <mergeCell ref="A63:M63"/>
    <mergeCell ref="N63:U63"/>
    <mergeCell ref="V63:AA63"/>
    <mergeCell ref="AB63:AF63"/>
    <mergeCell ref="AG63:AV63"/>
    <mergeCell ref="AW63:BD63"/>
    <mergeCell ref="BE63:BL63"/>
    <mergeCell ref="BM64:BT64"/>
    <mergeCell ref="BM63:BT63"/>
    <mergeCell ref="CC62:CJ62"/>
    <mergeCell ref="CK62:CR62"/>
    <mergeCell ref="DJ62:DT62"/>
    <mergeCell ref="A61:M61"/>
    <mergeCell ref="N61:U61"/>
    <mergeCell ref="V61:AA61"/>
    <mergeCell ref="AB61:AF61"/>
    <mergeCell ref="AG61:AV61"/>
    <mergeCell ref="CS61:CT61"/>
    <mergeCell ref="CU61:CZ61"/>
    <mergeCell ref="CS62:CT62"/>
    <mergeCell ref="CU62:CZ62"/>
    <mergeCell ref="BM62:BT62"/>
    <mergeCell ref="BU62:CB62"/>
    <mergeCell ref="DA61:DB61"/>
    <mergeCell ref="DC61:DI61"/>
    <mergeCell ref="DA62:DB62"/>
    <mergeCell ref="DC62:DI62"/>
    <mergeCell ref="A62:M62"/>
    <mergeCell ref="N62:U62"/>
    <mergeCell ref="V62:AA62"/>
    <mergeCell ref="AB62:AF62"/>
    <mergeCell ref="AG62:AV62"/>
    <mergeCell ref="AW62:BD62"/>
    <mergeCell ref="BE62:BL62"/>
    <mergeCell ref="AW61:BD61"/>
    <mergeCell ref="BE61:BL61"/>
    <mergeCell ref="BM61:BT61"/>
    <mergeCell ref="BU61:CB61"/>
    <mergeCell ref="CC59:CJ59"/>
    <mergeCell ref="CK59:CR59"/>
    <mergeCell ref="DJ59:DT59"/>
    <mergeCell ref="CC60:CJ60"/>
    <mergeCell ref="CK60:CR60"/>
    <mergeCell ref="DJ60:DT60"/>
    <mergeCell ref="CC61:CJ61"/>
    <mergeCell ref="CK61:CR61"/>
    <mergeCell ref="DJ61:DT61"/>
    <mergeCell ref="CS59:CT59"/>
    <mergeCell ref="CU59:CZ59"/>
    <mergeCell ref="CS60:CT60"/>
    <mergeCell ref="CU60:CZ60"/>
    <mergeCell ref="A60:M60"/>
    <mergeCell ref="N60:U60"/>
    <mergeCell ref="V60:AA60"/>
    <mergeCell ref="AB60:AF60"/>
    <mergeCell ref="AG60:AV60"/>
    <mergeCell ref="AW60:BD60"/>
    <mergeCell ref="BE60:BL60"/>
    <mergeCell ref="BM60:BT60"/>
    <mergeCell ref="BU60:CB60"/>
    <mergeCell ref="A59:M59"/>
    <mergeCell ref="N59:U59"/>
    <mergeCell ref="V59:AA59"/>
    <mergeCell ref="AB59:AF59"/>
    <mergeCell ref="AG59:AV59"/>
    <mergeCell ref="AW59:BD59"/>
    <mergeCell ref="BE59:BL59"/>
    <mergeCell ref="BM59:BT59"/>
    <mergeCell ref="BU59:CB59"/>
    <mergeCell ref="CC58:CJ58"/>
    <mergeCell ref="CK58:CR58"/>
    <mergeCell ref="DJ58:DT58"/>
    <mergeCell ref="A57:M57"/>
    <mergeCell ref="N57:U57"/>
    <mergeCell ref="V57:AA57"/>
    <mergeCell ref="AB57:AF57"/>
    <mergeCell ref="AG57:AV57"/>
    <mergeCell ref="CS57:CT57"/>
    <mergeCell ref="CU57:CZ57"/>
    <mergeCell ref="CS58:CT58"/>
    <mergeCell ref="CU58:CZ58"/>
    <mergeCell ref="A58:M58"/>
    <mergeCell ref="N58:U58"/>
    <mergeCell ref="V58:AA58"/>
    <mergeCell ref="AB58:AF58"/>
    <mergeCell ref="AG58:AV58"/>
    <mergeCell ref="AW58:BD58"/>
    <mergeCell ref="BE58:BL58"/>
    <mergeCell ref="BM58:BT58"/>
    <mergeCell ref="BU58:CB58"/>
    <mergeCell ref="AW57:BD57"/>
    <mergeCell ref="BE57:BL57"/>
    <mergeCell ref="BM57:BT57"/>
    <mergeCell ref="BU57:CB57"/>
    <mergeCell ref="CC55:CJ55"/>
    <mergeCell ref="CK55:CR55"/>
    <mergeCell ref="DJ55:DT55"/>
    <mergeCell ref="CC56:CJ56"/>
    <mergeCell ref="CK56:CR56"/>
    <mergeCell ref="DJ56:DT56"/>
    <mergeCell ref="CC57:CJ57"/>
    <mergeCell ref="CK57:CR57"/>
    <mergeCell ref="DJ57:DT57"/>
    <mergeCell ref="CS55:CT55"/>
    <mergeCell ref="CU55:CZ55"/>
    <mergeCell ref="CS56:CT56"/>
    <mergeCell ref="CU56:CZ56"/>
    <mergeCell ref="A56:M56"/>
    <mergeCell ref="N56:U56"/>
    <mergeCell ref="V56:AA56"/>
    <mergeCell ref="AB56:AF56"/>
    <mergeCell ref="AG56:AV56"/>
    <mergeCell ref="AW56:BD56"/>
    <mergeCell ref="BE56:BL56"/>
    <mergeCell ref="BM56:BT56"/>
    <mergeCell ref="BU56:CB56"/>
    <mergeCell ref="A55:M55"/>
    <mergeCell ref="N55:U55"/>
    <mergeCell ref="V55:AA55"/>
    <mergeCell ref="AB55:AF55"/>
    <mergeCell ref="AG55:AV55"/>
    <mergeCell ref="AW55:BD55"/>
    <mergeCell ref="BE55:BL55"/>
    <mergeCell ref="BM55:BT55"/>
    <mergeCell ref="BU55:CB55"/>
    <mergeCell ref="CC54:CJ54"/>
    <mergeCell ref="CK54:CR54"/>
    <mergeCell ref="DJ54:DT54"/>
    <mergeCell ref="A53:M53"/>
    <mergeCell ref="N53:U53"/>
    <mergeCell ref="V53:AA53"/>
    <mergeCell ref="AB53:AF53"/>
    <mergeCell ref="AG53:AV53"/>
    <mergeCell ref="CS53:CT53"/>
    <mergeCell ref="CU53:CZ53"/>
    <mergeCell ref="CS54:CT54"/>
    <mergeCell ref="CU54:CZ54"/>
    <mergeCell ref="A54:M54"/>
    <mergeCell ref="N54:U54"/>
    <mergeCell ref="V54:AA54"/>
    <mergeCell ref="AB54:AF54"/>
    <mergeCell ref="AG54:AV54"/>
    <mergeCell ref="AW54:BD54"/>
    <mergeCell ref="BE54:BL54"/>
    <mergeCell ref="BM54:BT54"/>
    <mergeCell ref="BU54:CB54"/>
    <mergeCell ref="AW53:BD53"/>
    <mergeCell ref="BE53:BL53"/>
    <mergeCell ref="BM53:BT53"/>
    <mergeCell ref="BU53:CB53"/>
    <mergeCell ref="A52:M52"/>
    <mergeCell ref="N52:U52"/>
    <mergeCell ref="V52:AA52"/>
    <mergeCell ref="AB52:AF52"/>
    <mergeCell ref="AG52:AV52"/>
    <mergeCell ref="AW52:BD52"/>
    <mergeCell ref="BE52:BL52"/>
    <mergeCell ref="BM52:BT52"/>
    <mergeCell ref="BU52:CB52"/>
    <mergeCell ref="A51:M51"/>
    <mergeCell ref="N51:U51"/>
    <mergeCell ref="V51:AA51"/>
    <mergeCell ref="AB51:AF51"/>
    <mergeCell ref="AG51:AV51"/>
    <mergeCell ref="AW51:BD51"/>
    <mergeCell ref="BE51:BL51"/>
    <mergeCell ref="BM51:BT51"/>
    <mergeCell ref="BU51:CB51"/>
    <mergeCell ref="BE50:BL50"/>
    <mergeCell ref="BM50:BT50"/>
    <mergeCell ref="BU50:CB50"/>
    <mergeCell ref="AW49:BD49"/>
    <mergeCell ref="BE49:BL49"/>
    <mergeCell ref="BM49:BT49"/>
    <mergeCell ref="BU49:CB49"/>
    <mergeCell ref="CC51:CJ51"/>
    <mergeCell ref="CK51:CR51"/>
    <mergeCell ref="DJ51:DT51"/>
    <mergeCell ref="CC52:CJ52"/>
    <mergeCell ref="CK52:CR52"/>
    <mergeCell ref="DJ52:DT52"/>
    <mergeCell ref="CC53:CJ53"/>
    <mergeCell ref="CK53:CR53"/>
    <mergeCell ref="DJ53:DT53"/>
    <mergeCell ref="CS51:CT51"/>
    <mergeCell ref="CU51:CZ51"/>
    <mergeCell ref="CS52:CT52"/>
    <mergeCell ref="CU52:CZ52"/>
    <mergeCell ref="A45:DT45"/>
    <mergeCell ref="A46:BA46"/>
    <mergeCell ref="A48:M48"/>
    <mergeCell ref="N48:U48"/>
    <mergeCell ref="V48:AA48"/>
    <mergeCell ref="AB48:AF48"/>
    <mergeCell ref="AG48:AV48"/>
    <mergeCell ref="AW48:CR48"/>
    <mergeCell ref="CS48:CZ48"/>
    <mergeCell ref="DA48:DI48"/>
    <mergeCell ref="DJ48:DT48"/>
    <mergeCell ref="CC49:CJ49"/>
    <mergeCell ref="CK49:CR49"/>
    <mergeCell ref="CS49:CZ49"/>
    <mergeCell ref="DA49:DI49"/>
    <mergeCell ref="DJ49:DT49"/>
    <mergeCell ref="CC50:CJ50"/>
    <mergeCell ref="CK50:CR50"/>
    <mergeCell ref="DJ50:DT50"/>
    <mergeCell ref="A49:M49"/>
    <mergeCell ref="N49:U49"/>
    <mergeCell ref="V49:AA49"/>
    <mergeCell ref="AB49:AF49"/>
    <mergeCell ref="AG49:AV49"/>
    <mergeCell ref="CS50:CT50"/>
    <mergeCell ref="CU50:CZ50"/>
    <mergeCell ref="A50:M50"/>
    <mergeCell ref="N50:U50"/>
    <mergeCell ref="V50:AA50"/>
    <mergeCell ref="AB50:AF50"/>
    <mergeCell ref="AG50:AV50"/>
    <mergeCell ref="AW50:BD50"/>
    <mergeCell ref="A42:X42"/>
    <mergeCell ref="A43:E43"/>
    <mergeCell ref="G43:AE43"/>
    <mergeCell ref="AF43:AK43"/>
    <mergeCell ref="AM43:BG43"/>
    <mergeCell ref="BU43:BY43"/>
    <mergeCell ref="CA43:CI43"/>
    <mergeCell ref="CJ43:CN43"/>
    <mergeCell ref="CP43:CX43"/>
    <mergeCell ref="CC35:CJ35"/>
    <mergeCell ref="CK35:CR35"/>
    <mergeCell ref="DJ35:DT35"/>
    <mergeCell ref="P36:CY36"/>
    <mergeCell ref="DJ37:DO37"/>
    <mergeCell ref="DP37:DS37"/>
    <mergeCell ref="CS35:CT35"/>
    <mergeCell ref="CU35:CZ35"/>
    <mergeCell ref="DA35:DB35"/>
    <mergeCell ref="DC35:DI35"/>
    <mergeCell ref="DA36:DB36"/>
    <mergeCell ref="DC36:DT36"/>
    <mergeCell ref="A35:M35"/>
    <mergeCell ref="N35:U35"/>
    <mergeCell ref="V35:AA35"/>
    <mergeCell ref="AB35:AF35"/>
    <mergeCell ref="AG35:AV35"/>
    <mergeCell ref="AW35:BD35"/>
    <mergeCell ref="BE35:BL35"/>
    <mergeCell ref="BM35:BT35"/>
    <mergeCell ref="BU35:CB35"/>
    <mergeCell ref="DG43:DK43"/>
    <mergeCell ref="DM43:DT43"/>
    <mergeCell ref="CC34:CJ34"/>
    <mergeCell ref="CK34:CR34"/>
    <mergeCell ref="DJ34:DT34"/>
    <mergeCell ref="A33:M33"/>
    <mergeCell ref="N33:U33"/>
    <mergeCell ref="V33:AA33"/>
    <mergeCell ref="AB33:AF33"/>
    <mergeCell ref="AG33:AV33"/>
    <mergeCell ref="CS33:CT33"/>
    <mergeCell ref="CU33:CZ33"/>
    <mergeCell ref="CS34:CT34"/>
    <mergeCell ref="CU34:CZ34"/>
    <mergeCell ref="DA33:DB33"/>
    <mergeCell ref="DC33:DI33"/>
    <mergeCell ref="DA34:DB34"/>
    <mergeCell ref="DC34:DI34"/>
    <mergeCell ref="A34:M34"/>
    <mergeCell ref="N34:U34"/>
    <mergeCell ref="V34:AA34"/>
    <mergeCell ref="AB34:AF34"/>
    <mergeCell ref="AG34:AV34"/>
    <mergeCell ref="AW34:BD34"/>
    <mergeCell ref="BE34:BL34"/>
    <mergeCell ref="BM34:BT34"/>
    <mergeCell ref="BU34:CB34"/>
    <mergeCell ref="AW33:BD33"/>
    <mergeCell ref="BE33:BL33"/>
    <mergeCell ref="BM33:BT33"/>
    <mergeCell ref="BU33:CB33"/>
    <mergeCell ref="CC31:CJ31"/>
    <mergeCell ref="CK31:CR31"/>
    <mergeCell ref="DJ31:DT31"/>
    <mergeCell ref="CC32:CJ32"/>
    <mergeCell ref="CK32:CR32"/>
    <mergeCell ref="DJ32:DT32"/>
    <mergeCell ref="CC33:CJ33"/>
    <mergeCell ref="CK33:CR33"/>
    <mergeCell ref="DJ33:DT33"/>
    <mergeCell ref="CS31:CT31"/>
    <mergeCell ref="CU31:CZ31"/>
    <mergeCell ref="CS32:CT32"/>
    <mergeCell ref="CU32:CZ32"/>
    <mergeCell ref="A32:M32"/>
    <mergeCell ref="N32:U32"/>
    <mergeCell ref="V32:AA32"/>
    <mergeCell ref="AB32:AF32"/>
    <mergeCell ref="AG32:AV32"/>
    <mergeCell ref="AW32:BD32"/>
    <mergeCell ref="BE32:BL32"/>
    <mergeCell ref="BM32:BT32"/>
    <mergeCell ref="BU32:CB32"/>
    <mergeCell ref="A31:M31"/>
    <mergeCell ref="N31:U31"/>
    <mergeCell ref="V31:AA31"/>
    <mergeCell ref="AB31:AF31"/>
    <mergeCell ref="AG31:AV31"/>
    <mergeCell ref="AW31:BD31"/>
    <mergeCell ref="BE31:BL31"/>
    <mergeCell ref="BM31:BT31"/>
    <mergeCell ref="BU31:CB31"/>
    <mergeCell ref="CC30:CJ30"/>
    <mergeCell ref="CK30:CR30"/>
    <mergeCell ref="DJ30:DT30"/>
    <mergeCell ref="A29:M29"/>
    <mergeCell ref="N29:U29"/>
    <mergeCell ref="V29:AA29"/>
    <mergeCell ref="AB29:AF29"/>
    <mergeCell ref="AG29:AV29"/>
    <mergeCell ref="CS29:CT29"/>
    <mergeCell ref="CU29:CZ29"/>
    <mergeCell ref="CS30:CT30"/>
    <mergeCell ref="CU30:CZ30"/>
    <mergeCell ref="A30:M30"/>
    <mergeCell ref="N30:U30"/>
    <mergeCell ref="V30:AA30"/>
    <mergeCell ref="AB30:AF30"/>
    <mergeCell ref="AG30:AV30"/>
    <mergeCell ref="AW30:BD30"/>
    <mergeCell ref="BE30:BL30"/>
    <mergeCell ref="BM30:BT30"/>
    <mergeCell ref="BU30:CB30"/>
    <mergeCell ref="AW29:BD29"/>
    <mergeCell ref="BE29:BL29"/>
    <mergeCell ref="BM29:BT29"/>
    <mergeCell ref="BU29:CB29"/>
    <mergeCell ref="CC27:CJ27"/>
    <mergeCell ref="CK27:CR27"/>
    <mergeCell ref="DJ27:DT27"/>
    <mergeCell ref="CC28:CJ28"/>
    <mergeCell ref="CK28:CR28"/>
    <mergeCell ref="DJ28:DT28"/>
    <mergeCell ref="CC29:CJ29"/>
    <mergeCell ref="CK29:CR29"/>
    <mergeCell ref="DJ29:DT29"/>
    <mergeCell ref="CS27:CT27"/>
    <mergeCell ref="CU27:CZ27"/>
    <mergeCell ref="CS28:CT28"/>
    <mergeCell ref="CU28:CZ28"/>
    <mergeCell ref="DA28:DB28"/>
    <mergeCell ref="A28:M28"/>
    <mergeCell ref="N28:U28"/>
    <mergeCell ref="V28:AA28"/>
    <mergeCell ref="AB28:AF28"/>
    <mergeCell ref="AG28:AV28"/>
    <mergeCell ref="AW28:BD28"/>
    <mergeCell ref="BE28:BL28"/>
    <mergeCell ref="BM28:BT28"/>
    <mergeCell ref="BU28:CB28"/>
    <mergeCell ref="A27:M27"/>
    <mergeCell ref="N27:U27"/>
    <mergeCell ref="V27:AA27"/>
    <mergeCell ref="AB27:AF27"/>
    <mergeCell ref="AG27:AV27"/>
    <mergeCell ref="AW27:BD27"/>
    <mergeCell ref="BE27:BL27"/>
    <mergeCell ref="BM27:BT27"/>
    <mergeCell ref="BU27:CB27"/>
    <mergeCell ref="CC26:CJ26"/>
    <mergeCell ref="CK26:CR26"/>
    <mergeCell ref="DJ26:DT26"/>
    <mergeCell ref="A25:M25"/>
    <mergeCell ref="N25:U25"/>
    <mergeCell ref="V25:AA25"/>
    <mergeCell ref="AB25:AF25"/>
    <mergeCell ref="AG25:AV25"/>
    <mergeCell ref="CS25:CT25"/>
    <mergeCell ref="CU25:CZ25"/>
    <mergeCell ref="CS26:CT26"/>
    <mergeCell ref="CU26:CZ26"/>
    <mergeCell ref="A26:M26"/>
    <mergeCell ref="N26:U26"/>
    <mergeCell ref="V26:AA26"/>
    <mergeCell ref="AB26:AF26"/>
    <mergeCell ref="AG26:AV26"/>
    <mergeCell ref="AW26:BD26"/>
    <mergeCell ref="BE26:BL26"/>
    <mergeCell ref="BM26:BT26"/>
    <mergeCell ref="BU26:CB26"/>
    <mergeCell ref="AW25:BD25"/>
    <mergeCell ref="BE25:BL25"/>
    <mergeCell ref="BM25:BT25"/>
    <mergeCell ref="BU25:CB25"/>
    <mergeCell ref="CC23:CJ23"/>
    <mergeCell ref="CK23:CR23"/>
    <mergeCell ref="DJ23:DT23"/>
    <mergeCell ref="CC24:CJ24"/>
    <mergeCell ref="CK24:CR24"/>
    <mergeCell ref="DJ24:DT24"/>
    <mergeCell ref="CC25:CJ25"/>
    <mergeCell ref="CK25:CR25"/>
    <mergeCell ref="DJ25:DT25"/>
    <mergeCell ref="CS23:CT23"/>
    <mergeCell ref="CU23:CZ23"/>
    <mergeCell ref="CS24:CT24"/>
    <mergeCell ref="CU24:CZ24"/>
    <mergeCell ref="DA23:DB23"/>
    <mergeCell ref="A24:M24"/>
    <mergeCell ref="N24:U24"/>
    <mergeCell ref="V24:AA24"/>
    <mergeCell ref="AB24:AF24"/>
    <mergeCell ref="AG24:AV24"/>
    <mergeCell ref="AW24:BD24"/>
    <mergeCell ref="BE24:BL24"/>
    <mergeCell ref="BM24:BT24"/>
    <mergeCell ref="BU24:CB24"/>
    <mergeCell ref="A23:M23"/>
    <mergeCell ref="N23:U23"/>
    <mergeCell ref="V23:AA23"/>
    <mergeCell ref="AB23:AF23"/>
    <mergeCell ref="AG23:AV23"/>
    <mergeCell ref="AW23:BD23"/>
    <mergeCell ref="BE23:BL23"/>
    <mergeCell ref="BM23:BT23"/>
    <mergeCell ref="BU23:CB23"/>
    <mergeCell ref="CC22:CJ22"/>
    <mergeCell ref="CK22:CR22"/>
    <mergeCell ref="DJ22:DT22"/>
    <mergeCell ref="A21:M21"/>
    <mergeCell ref="N21:U21"/>
    <mergeCell ref="V21:AA21"/>
    <mergeCell ref="AB21:AF21"/>
    <mergeCell ref="AG21:AV21"/>
    <mergeCell ref="CS21:CT21"/>
    <mergeCell ref="CU21:CZ21"/>
    <mergeCell ref="CS22:CT22"/>
    <mergeCell ref="CU22:CZ22"/>
    <mergeCell ref="DA21:DB21"/>
    <mergeCell ref="DC21:DI21"/>
    <mergeCell ref="DA22:DB22"/>
    <mergeCell ref="DC22:DI22"/>
    <mergeCell ref="A22:M22"/>
    <mergeCell ref="N22:U22"/>
    <mergeCell ref="V22:AA22"/>
    <mergeCell ref="AB22:AF22"/>
    <mergeCell ref="AG22:AV22"/>
    <mergeCell ref="AW22:BD22"/>
    <mergeCell ref="BE22:BL22"/>
    <mergeCell ref="BM22:BT22"/>
    <mergeCell ref="BU22:CB22"/>
    <mergeCell ref="AW21:BD21"/>
    <mergeCell ref="BE21:BL21"/>
    <mergeCell ref="BM21:BT21"/>
    <mergeCell ref="BU21:CB21"/>
    <mergeCell ref="CC19:CJ19"/>
    <mergeCell ref="CK19:CR19"/>
    <mergeCell ref="DJ19:DT19"/>
    <mergeCell ref="CC20:CJ20"/>
    <mergeCell ref="CK20:CR20"/>
    <mergeCell ref="DJ20:DT20"/>
    <mergeCell ref="CC21:CJ21"/>
    <mergeCell ref="CK21:CR21"/>
    <mergeCell ref="DJ21:DT21"/>
    <mergeCell ref="CS19:CT19"/>
    <mergeCell ref="CU19:CZ19"/>
    <mergeCell ref="CS20:CT20"/>
    <mergeCell ref="CU20:CZ20"/>
    <mergeCell ref="A20:M20"/>
    <mergeCell ref="N20:U20"/>
    <mergeCell ref="V20:AA20"/>
    <mergeCell ref="AB20:AF20"/>
    <mergeCell ref="AG20:AV20"/>
    <mergeCell ref="AW20:BD20"/>
    <mergeCell ref="BE20:BL20"/>
    <mergeCell ref="BM20:BT20"/>
    <mergeCell ref="BU20:CB20"/>
    <mergeCell ref="A19:M19"/>
    <mergeCell ref="N19:U19"/>
    <mergeCell ref="V19:AA19"/>
    <mergeCell ref="AB19:AF19"/>
    <mergeCell ref="AG19:AV19"/>
    <mergeCell ref="AW19:BD19"/>
    <mergeCell ref="BE19:BL19"/>
    <mergeCell ref="BM19:BT19"/>
    <mergeCell ref="BU19:CB19"/>
    <mergeCell ref="CC18:CJ18"/>
    <mergeCell ref="CK18:CR18"/>
    <mergeCell ref="DJ18:DT18"/>
    <mergeCell ref="A17:M17"/>
    <mergeCell ref="N17:U17"/>
    <mergeCell ref="V17:AA17"/>
    <mergeCell ref="AB17:AF17"/>
    <mergeCell ref="AG17:AV17"/>
    <mergeCell ref="CS17:CT17"/>
    <mergeCell ref="CU17:CZ17"/>
    <mergeCell ref="CS18:CT18"/>
    <mergeCell ref="CU18:CZ18"/>
    <mergeCell ref="A18:M18"/>
    <mergeCell ref="N18:U18"/>
    <mergeCell ref="V18:AA18"/>
    <mergeCell ref="AB18:AF18"/>
    <mergeCell ref="AG18:AV18"/>
    <mergeCell ref="AW18:BD18"/>
    <mergeCell ref="BE18:BL18"/>
    <mergeCell ref="BM18:BT18"/>
    <mergeCell ref="BU18:CB18"/>
    <mergeCell ref="AW17:BD17"/>
    <mergeCell ref="BE17:BL17"/>
    <mergeCell ref="BM17:BT17"/>
    <mergeCell ref="BU17:CB17"/>
    <mergeCell ref="CC15:CJ15"/>
    <mergeCell ref="CK15:CR15"/>
    <mergeCell ref="DJ15:DT15"/>
    <mergeCell ref="CC16:CJ16"/>
    <mergeCell ref="CK16:CR16"/>
    <mergeCell ref="DJ16:DT16"/>
    <mergeCell ref="CC17:CJ17"/>
    <mergeCell ref="CK17:CR17"/>
    <mergeCell ref="DJ17:DT17"/>
    <mergeCell ref="CS15:CT15"/>
    <mergeCell ref="CU15:CZ15"/>
    <mergeCell ref="CS16:CT16"/>
    <mergeCell ref="CU16:CZ16"/>
    <mergeCell ref="DA16:DB16"/>
    <mergeCell ref="A16:M16"/>
    <mergeCell ref="N16:U16"/>
    <mergeCell ref="V16:AA16"/>
    <mergeCell ref="AB16:AF16"/>
    <mergeCell ref="AG16:AV16"/>
    <mergeCell ref="AW16:BD16"/>
    <mergeCell ref="BE16:BL16"/>
    <mergeCell ref="BM16:BT16"/>
    <mergeCell ref="BU16:CB16"/>
    <mergeCell ref="A15:M15"/>
    <mergeCell ref="N15:U15"/>
    <mergeCell ref="V15:AA15"/>
    <mergeCell ref="AB15:AF15"/>
    <mergeCell ref="AG15:AV15"/>
    <mergeCell ref="AW15:BD15"/>
    <mergeCell ref="BE15:BL15"/>
    <mergeCell ref="BM15:BT15"/>
    <mergeCell ref="BU15:CB15"/>
    <mergeCell ref="CC14:CJ14"/>
    <mergeCell ref="CK14:CR14"/>
    <mergeCell ref="DJ14:DT14"/>
    <mergeCell ref="A13:M13"/>
    <mergeCell ref="N13:U13"/>
    <mergeCell ref="V13:AA13"/>
    <mergeCell ref="AB13:AF13"/>
    <mergeCell ref="AG13:AV13"/>
    <mergeCell ref="CS13:CT13"/>
    <mergeCell ref="CU13:CZ13"/>
    <mergeCell ref="CS14:CT14"/>
    <mergeCell ref="CU14:CZ14"/>
    <mergeCell ref="A14:M14"/>
    <mergeCell ref="N14:U14"/>
    <mergeCell ref="V14:AA14"/>
    <mergeCell ref="AB14:AF14"/>
    <mergeCell ref="AG14:AV14"/>
    <mergeCell ref="AW14:BD14"/>
    <mergeCell ref="BE14:BL14"/>
    <mergeCell ref="BM14:BT14"/>
    <mergeCell ref="BU14:CB14"/>
    <mergeCell ref="AW13:BD13"/>
    <mergeCell ref="BE13:BL13"/>
    <mergeCell ref="BM13:BT13"/>
    <mergeCell ref="BU13:CB13"/>
    <mergeCell ref="CC11:CJ11"/>
    <mergeCell ref="CK11:CR11"/>
    <mergeCell ref="DJ11:DT11"/>
    <mergeCell ref="CC12:CJ12"/>
    <mergeCell ref="CK12:CR12"/>
    <mergeCell ref="DJ12:DT12"/>
    <mergeCell ref="CC13:CJ13"/>
    <mergeCell ref="CK13:CR13"/>
    <mergeCell ref="DJ13:DT13"/>
    <mergeCell ref="CS11:CT11"/>
    <mergeCell ref="CU11:CZ11"/>
    <mergeCell ref="CS12:CT12"/>
    <mergeCell ref="CU12:CZ12"/>
    <mergeCell ref="DA11:DB11"/>
    <mergeCell ref="A12:M12"/>
    <mergeCell ref="N12:U12"/>
    <mergeCell ref="V12:AA12"/>
    <mergeCell ref="AB12:AF12"/>
    <mergeCell ref="AG12:AV12"/>
    <mergeCell ref="AW12:BD12"/>
    <mergeCell ref="BE12:BL12"/>
    <mergeCell ref="BM12:BT12"/>
    <mergeCell ref="BU12:CB12"/>
    <mergeCell ref="A11:M11"/>
    <mergeCell ref="N11:U11"/>
    <mergeCell ref="V11:AA11"/>
    <mergeCell ref="AB11:AF11"/>
    <mergeCell ref="AG11:AV11"/>
    <mergeCell ref="AW11:BD11"/>
    <mergeCell ref="BE11:BL11"/>
    <mergeCell ref="BM11:BT11"/>
    <mergeCell ref="BU11:CB11"/>
    <mergeCell ref="CC9:CJ9"/>
    <mergeCell ref="CK9:CR9"/>
    <mergeCell ref="CS9:CZ9"/>
    <mergeCell ref="DA9:DI9"/>
    <mergeCell ref="DJ9:DT9"/>
    <mergeCell ref="CC10:CJ10"/>
    <mergeCell ref="CK10:CR10"/>
    <mergeCell ref="DJ10:DT10"/>
    <mergeCell ref="A9:M9"/>
    <mergeCell ref="N9:U9"/>
    <mergeCell ref="V9:AA9"/>
    <mergeCell ref="AB9:AF9"/>
    <mergeCell ref="AG9:AV9"/>
    <mergeCell ref="CS10:CT10"/>
    <mergeCell ref="CU10:CZ10"/>
    <mergeCell ref="DA10:DB10"/>
    <mergeCell ref="DC10:DI10"/>
    <mergeCell ref="A10:M10"/>
    <mergeCell ref="N10:U10"/>
    <mergeCell ref="V10:AA10"/>
    <mergeCell ref="AB10:AF10"/>
    <mergeCell ref="AG10:AV10"/>
    <mergeCell ref="AW10:BD10"/>
    <mergeCell ref="BE10:BL10"/>
    <mergeCell ref="BM10:BT10"/>
    <mergeCell ref="BU10:CB10"/>
    <mergeCell ref="AW9:BD9"/>
    <mergeCell ref="BE9:BL9"/>
    <mergeCell ref="BM9:BT9"/>
    <mergeCell ref="BU9:CB9"/>
    <mergeCell ref="A2:X2"/>
    <mergeCell ref="A3:E3"/>
    <mergeCell ref="G3:AE3"/>
    <mergeCell ref="AF3:AK3"/>
    <mergeCell ref="AM3:BG3"/>
    <mergeCell ref="BU3:BY3"/>
    <mergeCell ref="CA3:CI3"/>
    <mergeCell ref="CJ3:CN3"/>
    <mergeCell ref="CP3:CX3"/>
    <mergeCell ref="DG3:DK3"/>
    <mergeCell ref="DM3:DT3"/>
    <mergeCell ref="A5:DT5"/>
    <mergeCell ref="A6:BA6"/>
    <mergeCell ref="A8:M8"/>
    <mergeCell ref="N8:U8"/>
    <mergeCell ref="V8:AA8"/>
    <mergeCell ref="AB8:AF8"/>
    <mergeCell ref="AG8:AV8"/>
    <mergeCell ref="AW8:CR8"/>
    <mergeCell ref="CS8:CZ8"/>
    <mergeCell ref="DA8:DI8"/>
    <mergeCell ref="DJ8:DT8"/>
  </mergeCells>
  <printOptions horizontalCentered="1"/>
  <pageMargins left="0.8" right="0.2" top="0.2" bottom="0.2" header="0.3" footer="0.3"/>
  <pageSetup paperSize="14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22"/>
  <sheetViews>
    <sheetView zoomScale="85" zoomScaleNormal="85" workbookViewId="0">
      <pane xSplit="124" ySplit="8" topLeftCell="DU9" activePane="bottomRight" state="frozen"/>
      <selection pane="topRight"/>
      <selection pane="bottomLeft"/>
      <selection pane="bottomRight" activeCell="DV17" sqref="DV17"/>
    </sheetView>
  </sheetViews>
  <sheetFormatPr defaultColWidth="9" defaultRowHeight="14.4"/>
  <cols>
    <col min="1" max="124" width="1.6640625" customWidth="1"/>
    <col min="125" max="125" width="10.5546875" bestFit="1" customWidth="1"/>
  </cols>
  <sheetData>
    <row r="1" spans="1:124" ht="3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 spans="1:124" ht="15" customHeight="1">
      <c r="A2" s="452" t="s">
        <v>84</v>
      </c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spans="1:124" ht="18" customHeight="1">
      <c r="A3" s="453" t="s">
        <v>4</v>
      </c>
      <c r="B3" s="454"/>
      <c r="C3" s="454"/>
      <c r="D3" s="454"/>
      <c r="E3" s="454"/>
      <c r="F3" s="2"/>
      <c r="G3" s="101" t="s">
        <v>197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  <c r="AB3" s="453" t="s">
        <v>5</v>
      </c>
      <c r="AC3" s="454"/>
      <c r="AD3" s="454"/>
      <c r="AE3" s="454"/>
      <c r="AF3" s="454"/>
      <c r="AG3" s="454"/>
      <c r="AH3" s="2"/>
      <c r="AI3" s="101" t="s">
        <v>6</v>
      </c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3"/>
      <c r="BG3" s="1"/>
      <c r="BH3" s="1"/>
      <c r="BI3" s="1"/>
      <c r="BJ3" s="1"/>
      <c r="BK3" s="1"/>
      <c r="BL3" s="1"/>
      <c r="BM3" s="1"/>
      <c r="BN3" s="1"/>
      <c r="BO3" s="1"/>
      <c r="BP3" s="1"/>
      <c r="BQ3" s="453" t="s">
        <v>8</v>
      </c>
      <c r="BR3" s="454"/>
      <c r="BS3" s="454"/>
      <c r="BT3" s="454"/>
      <c r="BU3" s="454"/>
      <c r="BV3" s="454"/>
      <c r="BW3" s="2" t="s">
        <v>81</v>
      </c>
      <c r="BX3" s="455">
        <v>1009</v>
      </c>
      <c r="BY3" s="102"/>
      <c r="BZ3" s="102"/>
      <c r="CA3" s="102"/>
      <c r="CB3" s="102"/>
      <c r="CC3" s="102"/>
      <c r="CD3" s="102"/>
      <c r="CE3" s="102"/>
      <c r="CF3" s="103"/>
      <c r="CG3" s="456" t="s">
        <v>9</v>
      </c>
      <c r="CH3" s="454"/>
      <c r="CI3" s="454"/>
      <c r="CJ3" s="454"/>
      <c r="CK3" s="454"/>
      <c r="CL3" s="454"/>
      <c r="CM3" s="2"/>
      <c r="CN3" s="455">
        <v>3</v>
      </c>
      <c r="CO3" s="102"/>
      <c r="CP3" s="102"/>
      <c r="CQ3" s="102"/>
      <c r="CR3" s="102"/>
      <c r="CS3" s="102"/>
      <c r="CT3" s="102"/>
      <c r="CU3" s="102"/>
      <c r="CV3" s="103"/>
      <c r="CW3" s="1"/>
      <c r="CX3" s="1"/>
      <c r="CY3" s="1"/>
      <c r="CZ3" s="1"/>
      <c r="DA3" s="1"/>
      <c r="DB3" s="1"/>
      <c r="DC3" s="1"/>
      <c r="DD3" s="453" t="s">
        <v>62</v>
      </c>
      <c r="DE3" s="454"/>
      <c r="DF3" s="454"/>
      <c r="DG3" s="454"/>
      <c r="DH3" s="454"/>
      <c r="DI3" s="2"/>
      <c r="DJ3" s="102">
        <v>2024</v>
      </c>
      <c r="DK3" s="102"/>
      <c r="DL3" s="102"/>
      <c r="DM3" s="102"/>
      <c r="DN3" s="102"/>
      <c r="DO3" s="102"/>
      <c r="DP3" s="102"/>
      <c r="DQ3" s="102"/>
      <c r="DR3" s="102"/>
      <c r="DS3" s="103"/>
      <c r="DT3" s="1"/>
    </row>
    <row r="4" spans="1:124" ht="8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 ht="30" customHeight="1">
      <c r="A5" s="457" t="s">
        <v>85</v>
      </c>
      <c r="B5" s="458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8"/>
      <c r="BC5" s="458"/>
      <c r="BD5" s="458"/>
      <c r="BE5" s="458"/>
      <c r="BF5" s="458"/>
      <c r="BG5" s="458"/>
      <c r="BH5" s="458"/>
      <c r="BI5" s="458"/>
      <c r="BJ5" s="458"/>
      <c r="BK5" s="458"/>
      <c r="BL5" s="458"/>
      <c r="BM5" s="458"/>
      <c r="BN5" s="458"/>
      <c r="BO5" s="458"/>
      <c r="BP5" s="458"/>
      <c r="BQ5" s="458"/>
      <c r="BR5" s="458"/>
      <c r="BS5" s="458"/>
      <c r="BT5" s="458"/>
      <c r="BU5" s="458"/>
      <c r="BV5" s="458"/>
      <c r="BW5" s="458"/>
      <c r="BX5" s="458"/>
      <c r="BY5" s="458"/>
      <c r="BZ5" s="458"/>
      <c r="CA5" s="458"/>
      <c r="CB5" s="458"/>
      <c r="CC5" s="458"/>
      <c r="CD5" s="458"/>
      <c r="CE5" s="458"/>
      <c r="CF5" s="458"/>
      <c r="CG5" s="458"/>
      <c r="CH5" s="458"/>
      <c r="CI5" s="458"/>
      <c r="CJ5" s="458"/>
      <c r="CK5" s="458"/>
      <c r="CL5" s="458"/>
      <c r="CM5" s="458"/>
      <c r="CN5" s="458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34"/>
    </row>
    <row r="6" spans="1:124" ht="8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 ht="18" customHeight="1">
      <c r="A7" s="459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9"/>
      <c r="P7" s="247"/>
      <c r="Q7" s="248"/>
      <c r="R7" s="248"/>
      <c r="S7" s="248"/>
      <c r="T7" s="248"/>
      <c r="U7" s="248"/>
      <c r="V7" s="248"/>
      <c r="W7" s="249"/>
      <c r="X7" s="460" t="s">
        <v>65</v>
      </c>
      <c r="Y7" s="461"/>
      <c r="Z7" s="461"/>
      <c r="AA7" s="461"/>
      <c r="AB7" s="461"/>
      <c r="AC7" s="462"/>
      <c r="AD7" s="247"/>
      <c r="AE7" s="248"/>
      <c r="AF7" s="248"/>
      <c r="AG7" s="248"/>
      <c r="AH7" s="249"/>
      <c r="AI7" s="247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9"/>
      <c r="BF7" s="463" t="s">
        <v>66</v>
      </c>
      <c r="BG7" s="463"/>
      <c r="BH7" s="463"/>
      <c r="BI7" s="463"/>
      <c r="BJ7" s="463"/>
      <c r="BK7" s="463"/>
      <c r="BL7" s="463"/>
      <c r="BM7" s="463"/>
      <c r="BN7" s="463"/>
      <c r="BO7" s="463"/>
      <c r="BP7" s="463"/>
      <c r="BQ7" s="463"/>
      <c r="BR7" s="463"/>
      <c r="BS7" s="463"/>
      <c r="BT7" s="463"/>
      <c r="BU7" s="463"/>
      <c r="BV7" s="463"/>
      <c r="BW7" s="463"/>
      <c r="BX7" s="463"/>
      <c r="BY7" s="463"/>
      <c r="BZ7" s="463"/>
      <c r="CA7" s="463"/>
      <c r="CB7" s="463"/>
      <c r="CC7" s="463"/>
      <c r="CD7" s="463"/>
      <c r="CE7" s="463"/>
      <c r="CF7" s="463"/>
      <c r="CG7" s="463"/>
      <c r="CH7" s="463"/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0" t="s">
        <v>86</v>
      </c>
      <c r="CW7" s="461"/>
      <c r="CX7" s="461"/>
      <c r="CY7" s="461"/>
      <c r="CZ7" s="461"/>
      <c r="DA7" s="461"/>
      <c r="DB7" s="462"/>
      <c r="DC7" s="247"/>
      <c r="DD7" s="248"/>
      <c r="DE7" s="248"/>
      <c r="DF7" s="248"/>
      <c r="DG7" s="248"/>
      <c r="DH7" s="248"/>
      <c r="DI7" s="248"/>
      <c r="DJ7" s="248"/>
      <c r="DK7" s="248"/>
      <c r="DL7" s="249"/>
      <c r="DM7" s="460" t="s">
        <v>87</v>
      </c>
      <c r="DN7" s="461"/>
      <c r="DO7" s="461"/>
      <c r="DP7" s="461"/>
      <c r="DQ7" s="461"/>
      <c r="DR7" s="461"/>
      <c r="DS7" s="461"/>
      <c r="DT7" s="464"/>
    </row>
    <row r="8" spans="1:124" ht="18" customHeight="1">
      <c r="A8" s="465" t="s">
        <v>88</v>
      </c>
      <c r="B8" s="466"/>
      <c r="C8" s="466"/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467"/>
      <c r="P8" s="468" t="s">
        <v>68</v>
      </c>
      <c r="Q8" s="466"/>
      <c r="R8" s="466"/>
      <c r="S8" s="466"/>
      <c r="T8" s="466"/>
      <c r="U8" s="466"/>
      <c r="V8" s="466"/>
      <c r="W8" s="467"/>
      <c r="X8" s="468" t="s">
        <v>69</v>
      </c>
      <c r="Y8" s="466"/>
      <c r="Z8" s="466"/>
      <c r="AA8" s="466"/>
      <c r="AB8" s="466"/>
      <c r="AC8" s="467"/>
      <c r="AD8" s="468" t="s">
        <v>70</v>
      </c>
      <c r="AE8" s="466"/>
      <c r="AF8" s="466"/>
      <c r="AG8" s="466"/>
      <c r="AH8" s="467"/>
      <c r="AI8" s="468" t="s">
        <v>71</v>
      </c>
      <c r="AJ8" s="466"/>
      <c r="AK8" s="466"/>
      <c r="AL8" s="466"/>
      <c r="AM8" s="466"/>
      <c r="AN8" s="466"/>
      <c r="AO8" s="466"/>
      <c r="AP8" s="466"/>
      <c r="AQ8" s="466"/>
      <c r="AR8" s="466"/>
      <c r="AS8" s="466"/>
      <c r="AT8" s="466"/>
      <c r="AU8" s="466"/>
      <c r="AV8" s="466"/>
      <c r="AW8" s="466"/>
      <c r="AX8" s="466"/>
      <c r="AY8" s="466"/>
      <c r="AZ8" s="466"/>
      <c r="BA8" s="466"/>
      <c r="BB8" s="466"/>
      <c r="BC8" s="466"/>
      <c r="BD8" s="466"/>
      <c r="BE8" s="467"/>
      <c r="BF8" s="469" t="s">
        <v>72</v>
      </c>
      <c r="BG8" s="469"/>
      <c r="BH8" s="469"/>
      <c r="BI8" s="469"/>
      <c r="BJ8" s="469"/>
      <c r="BK8" s="469"/>
      <c r="BL8" s="469"/>
      <c r="BM8" s="469" t="s">
        <v>73</v>
      </c>
      <c r="BN8" s="469"/>
      <c r="BO8" s="469"/>
      <c r="BP8" s="469"/>
      <c r="BQ8" s="469"/>
      <c r="BR8" s="469"/>
      <c r="BS8" s="469"/>
      <c r="BT8" s="469" t="s">
        <v>74</v>
      </c>
      <c r="BU8" s="469"/>
      <c r="BV8" s="469"/>
      <c r="BW8" s="469"/>
      <c r="BX8" s="469"/>
      <c r="BY8" s="469"/>
      <c r="BZ8" s="469"/>
      <c r="CA8" s="469" t="s">
        <v>75</v>
      </c>
      <c r="CB8" s="469"/>
      <c r="CC8" s="469"/>
      <c r="CD8" s="469"/>
      <c r="CE8" s="469"/>
      <c r="CF8" s="469"/>
      <c r="CG8" s="469"/>
      <c r="CH8" s="469" t="s">
        <v>76</v>
      </c>
      <c r="CI8" s="469"/>
      <c r="CJ8" s="469"/>
      <c r="CK8" s="469"/>
      <c r="CL8" s="469"/>
      <c r="CM8" s="469"/>
      <c r="CN8" s="469"/>
      <c r="CO8" s="469" t="s">
        <v>77</v>
      </c>
      <c r="CP8" s="469"/>
      <c r="CQ8" s="469"/>
      <c r="CR8" s="469"/>
      <c r="CS8" s="469"/>
      <c r="CT8" s="469"/>
      <c r="CU8" s="469"/>
      <c r="CV8" s="468" t="s">
        <v>89</v>
      </c>
      <c r="CW8" s="466"/>
      <c r="CX8" s="466"/>
      <c r="CY8" s="466"/>
      <c r="CZ8" s="466"/>
      <c r="DA8" s="466"/>
      <c r="DB8" s="467"/>
      <c r="DC8" s="468" t="s">
        <v>79</v>
      </c>
      <c r="DD8" s="466"/>
      <c r="DE8" s="466"/>
      <c r="DF8" s="466"/>
      <c r="DG8" s="466"/>
      <c r="DH8" s="466"/>
      <c r="DI8" s="466"/>
      <c r="DJ8" s="466"/>
      <c r="DK8" s="466"/>
      <c r="DL8" s="467"/>
      <c r="DM8" s="468" t="s">
        <v>90</v>
      </c>
      <c r="DN8" s="466"/>
      <c r="DO8" s="466"/>
      <c r="DP8" s="466"/>
      <c r="DQ8" s="466"/>
      <c r="DR8" s="466"/>
      <c r="DS8" s="466"/>
      <c r="DT8" s="476"/>
    </row>
    <row r="9" spans="1:124" ht="20.100000000000001" customHeight="1">
      <c r="A9" s="308" t="s">
        <v>818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157" t="s">
        <v>819</v>
      </c>
      <c r="Q9" s="154"/>
      <c r="R9" s="154"/>
      <c r="S9" s="154"/>
      <c r="T9" s="154"/>
      <c r="U9" s="154"/>
      <c r="V9" s="154"/>
      <c r="W9" s="154"/>
      <c r="X9" s="159">
        <v>44941</v>
      </c>
      <c r="Y9" s="154"/>
      <c r="Z9" s="154"/>
      <c r="AA9" s="154"/>
      <c r="AB9" s="154"/>
      <c r="AC9" s="154"/>
      <c r="AD9" s="473" t="s">
        <v>252</v>
      </c>
      <c r="AE9" s="474"/>
      <c r="AF9" s="474"/>
      <c r="AG9" s="474"/>
      <c r="AH9" s="474"/>
      <c r="AI9" s="262" t="s">
        <v>820</v>
      </c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1"/>
      <c r="BF9" s="157" t="s">
        <v>821</v>
      </c>
      <c r="BG9" s="154"/>
      <c r="BH9" s="154"/>
      <c r="BI9" s="154"/>
      <c r="BJ9" s="154"/>
      <c r="BK9" s="154"/>
      <c r="BL9" s="154"/>
      <c r="BM9" s="475" t="s">
        <v>822</v>
      </c>
      <c r="BN9" s="154"/>
      <c r="BO9" s="154"/>
      <c r="BP9" s="154"/>
      <c r="BQ9" s="154"/>
      <c r="BR9" s="154"/>
      <c r="BS9" s="154"/>
      <c r="BT9" s="475" t="s">
        <v>823</v>
      </c>
      <c r="BU9" s="475"/>
      <c r="BV9" s="475"/>
      <c r="BW9" s="475"/>
      <c r="BX9" s="475"/>
      <c r="BY9" s="475"/>
      <c r="BZ9" s="475"/>
      <c r="CA9" s="157" t="s">
        <v>291</v>
      </c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477" t="s">
        <v>824</v>
      </c>
      <c r="CP9" s="477"/>
      <c r="CQ9" s="477"/>
      <c r="CR9" s="477"/>
      <c r="CS9" s="477"/>
      <c r="CT9" s="477"/>
      <c r="CU9" s="477"/>
      <c r="CV9" s="470">
        <v>15000</v>
      </c>
      <c r="CW9" s="470"/>
      <c r="CX9" s="470"/>
      <c r="CY9" s="470"/>
      <c r="CZ9" s="470"/>
      <c r="DA9" s="470"/>
      <c r="DB9" s="470"/>
      <c r="DC9" s="471">
        <v>15000</v>
      </c>
      <c r="DD9" s="471"/>
      <c r="DE9" s="471"/>
      <c r="DF9" s="471"/>
      <c r="DG9" s="471"/>
      <c r="DH9" s="471"/>
      <c r="DI9" s="471"/>
      <c r="DJ9" s="471"/>
      <c r="DK9" s="471"/>
      <c r="DL9" s="471"/>
      <c r="DM9" s="154">
        <v>42180</v>
      </c>
      <c r="DN9" s="154"/>
      <c r="DO9" s="154"/>
      <c r="DP9" s="154"/>
      <c r="DQ9" s="154"/>
      <c r="DR9" s="154"/>
      <c r="DS9" s="154"/>
      <c r="DT9" s="472"/>
    </row>
    <row r="10" spans="1:124" ht="20.100000000000001" customHeight="1">
      <c r="A10" s="308" t="s">
        <v>222</v>
      </c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157" t="s">
        <v>834</v>
      </c>
      <c r="Q10" s="154"/>
      <c r="R10" s="154"/>
      <c r="S10" s="154"/>
      <c r="T10" s="154"/>
      <c r="U10" s="154"/>
      <c r="V10" s="154"/>
      <c r="W10" s="154"/>
      <c r="X10" s="159">
        <v>45099</v>
      </c>
      <c r="Y10" s="154"/>
      <c r="Z10" s="154"/>
      <c r="AA10" s="154"/>
      <c r="AB10" s="154"/>
      <c r="AC10" s="154"/>
      <c r="AD10" s="473" t="s">
        <v>252</v>
      </c>
      <c r="AE10" s="474"/>
      <c r="AF10" s="474"/>
      <c r="AG10" s="474"/>
      <c r="AH10" s="474"/>
      <c r="AI10" s="285" t="s">
        <v>832</v>
      </c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  <c r="BA10" s="286"/>
      <c r="BB10" s="286"/>
      <c r="BC10" s="286"/>
      <c r="BD10" s="286"/>
      <c r="BE10" s="286"/>
      <c r="BF10" s="157" t="s">
        <v>830</v>
      </c>
      <c r="BG10" s="154"/>
      <c r="BH10" s="154"/>
      <c r="BI10" s="154"/>
      <c r="BJ10" s="154"/>
      <c r="BK10" s="154"/>
      <c r="BL10" s="154"/>
      <c r="BM10" s="157" t="s">
        <v>828</v>
      </c>
      <c r="BN10" s="154"/>
      <c r="BO10" s="154"/>
      <c r="BP10" s="154"/>
      <c r="BQ10" s="154"/>
      <c r="BR10" s="154"/>
      <c r="BS10" s="154"/>
      <c r="BT10" s="157" t="s">
        <v>827</v>
      </c>
      <c r="BU10" s="154"/>
      <c r="BV10" s="154"/>
      <c r="BW10" s="154"/>
      <c r="BX10" s="154"/>
      <c r="BY10" s="154"/>
      <c r="BZ10" s="154"/>
      <c r="CA10" s="157" t="s">
        <v>826</v>
      </c>
      <c r="CB10" s="154"/>
      <c r="CC10" s="154"/>
      <c r="CD10" s="154"/>
      <c r="CE10" s="154"/>
      <c r="CF10" s="154"/>
      <c r="CG10" s="154"/>
      <c r="CH10" s="157" t="s">
        <v>837</v>
      </c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470">
        <v>8000</v>
      </c>
      <c r="CW10" s="470"/>
      <c r="CX10" s="470"/>
      <c r="CY10" s="470"/>
      <c r="CZ10" s="470"/>
      <c r="DA10" s="470"/>
      <c r="DB10" s="470"/>
      <c r="DC10" s="471">
        <v>8000</v>
      </c>
      <c r="DD10" s="471"/>
      <c r="DE10" s="471"/>
      <c r="DF10" s="471"/>
      <c r="DG10" s="471"/>
      <c r="DH10" s="471"/>
      <c r="DI10" s="471"/>
      <c r="DJ10" s="471"/>
      <c r="DK10" s="471"/>
      <c r="DL10" s="471"/>
      <c r="DM10" s="154">
        <v>49067</v>
      </c>
      <c r="DN10" s="154"/>
      <c r="DO10" s="154"/>
      <c r="DP10" s="154"/>
      <c r="DQ10" s="154"/>
      <c r="DR10" s="154"/>
      <c r="DS10" s="154"/>
      <c r="DT10" s="472"/>
    </row>
    <row r="11" spans="1:124" ht="20.100000000000001" customHeight="1">
      <c r="A11" s="308" t="s">
        <v>836</v>
      </c>
      <c r="B11" s="229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157" t="s">
        <v>835</v>
      </c>
      <c r="Q11" s="154"/>
      <c r="R11" s="154"/>
      <c r="S11" s="154"/>
      <c r="T11" s="154"/>
      <c r="U11" s="154"/>
      <c r="V11" s="154"/>
      <c r="W11" s="154"/>
      <c r="X11" s="159">
        <v>45277</v>
      </c>
      <c r="Y11" s="154"/>
      <c r="Z11" s="154"/>
      <c r="AA11" s="154"/>
      <c r="AB11" s="154"/>
      <c r="AC11" s="154"/>
      <c r="AD11" s="473" t="s">
        <v>252</v>
      </c>
      <c r="AE11" s="474"/>
      <c r="AF11" s="474"/>
      <c r="AG11" s="474"/>
      <c r="AH11" s="474"/>
      <c r="AI11" s="285" t="s">
        <v>833</v>
      </c>
      <c r="AJ11" s="286"/>
      <c r="AK11" s="286"/>
      <c r="AL11" s="286"/>
      <c r="AM11" s="286"/>
      <c r="AN11" s="286"/>
      <c r="AO11" s="286"/>
      <c r="AP11" s="286"/>
      <c r="AQ11" s="286"/>
      <c r="AR11" s="286"/>
      <c r="AS11" s="286"/>
      <c r="AT11" s="286"/>
      <c r="AU11" s="286"/>
      <c r="AV11" s="286"/>
      <c r="AW11" s="286"/>
      <c r="AX11" s="286"/>
      <c r="AY11" s="286"/>
      <c r="AZ11" s="286"/>
      <c r="BA11" s="286"/>
      <c r="BB11" s="286"/>
      <c r="BC11" s="286"/>
      <c r="BD11" s="286"/>
      <c r="BE11" s="286"/>
      <c r="BF11" s="157" t="s">
        <v>831</v>
      </c>
      <c r="BG11" s="478"/>
      <c r="BH11" s="478"/>
      <c r="BI11" s="478"/>
      <c r="BJ11" s="478"/>
      <c r="BK11" s="478"/>
      <c r="BL11" s="478"/>
      <c r="BM11" s="478" t="s">
        <v>829</v>
      </c>
      <c r="BN11" s="478"/>
      <c r="BO11" s="478"/>
      <c r="BP11" s="478"/>
      <c r="BQ11" s="478"/>
      <c r="BR11" s="478"/>
      <c r="BS11" s="478"/>
      <c r="BT11" s="157" t="s">
        <v>827</v>
      </c>
      <c r="BU11" s="154"/>
      <c r="BV11" s="154"/>
      <c r="BW11" s="154"/>
      <c r="BX11" s="154"/>
      <c r="BY11" s="154"/>
      <c r="BZ11" s="154"/>
      <c r="CA11" s="157" t="s">
        <v>715</v>
      </c>
      <c r="CB11" s="154"/>
      <c r="CC11" s="154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7" t="s">
        <v>825</v>
      </c>
      <c r="CP11" s="154"/>
      <c r="CQ11" s="154"/>
      <c r="CR11" s="154"/>
      <c r="CS11" s="154"/>
      <c r="CT11" s="154"/>
      <c r="CU11" s="154"/>
      <c r="CV11" s="470">
        <v>50000</v>
      </c>
      <c r="CW11" s="470"/>
      <c r="CX11" s="470"/>
      <c r="CY11" s="470"/>
      <c r="CZ11" s="470"/>
      <c r="DA11" s="470"/>
      <c r="DB11" s="470"/>
      <c r="DC11" s="471">
        <v>50000</v>
      </c>
      <c r="DD11" s="471"/>
      <c r="DE11" s="471"/>
      <c r="DF11" s="471"/>
      <c r="DG11" s="471"/>
      <c r="DH11" s="471"/>
      <c r="DI11" s="471"/>
      <c r="DJ11" s="471"/>
      <c r="DK11" s="471"/>
      <c r="DL11" s="471"/>
      <c r="DM11" s="154">
        <v>130</v>
      </c>
      <c r="DN11" s="154"/>
      <c r="DO11" s="154"/>
      <c r="DP11" s="154"/>
      <c r="DQ11" s="154"/>
      <c r="DR11" s="154"/>
      <c r="DS11" s="154"/>
      <c r="DT11" s="472"/>
    </row>
    <row r="12" spans="1:124" ht="20.100000000000001" customHeight="1">
      <c r="A12" s="479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474"/>
      <c r="AE12" s="474"/>
      <c r="AF12" s="474"/>
      <c r="AG12" s="474"/>
      <c r="AH12" s="474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154"/>
      <c r="BU12" s="154"/>
      <c r="BV12" s="154"/>
      <c r="BW12" s="154"/>
      <c r="BX12" s="154"/>
      <c r="BY12" s="154"/>
      <c r="BZ12" s="154"/>
      <c r="CA12" s="154"/>
      <c r="CB12" s="154"/>
      <c r="CC12" s="154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470"/>
      <c r="CW12" s="470"/>
      <c r="CX12" s="470"/>
      <c r="CY12" s="470"/>
      <c r="CZ12" s="470"/>
      <c r="DA12" s="470"/>
      <c r="DB12" s="470"/>
      <c r="DC12" s="471"/>
      <c r="DD12" s="471"/>
      <c r="DE12" s="471"/>
      <c r="DF12" s="471"/>
      <c r="DG12" s="471"/>
      <c r="DH12" s="471"/>
      <c r="DI12" s="471"/>
      <c r="DJ12" s="471"/>
      <c r="DK12" s="471"/>
      <c r="DL12" s="471"/>
      <c r="DM12" s="154"/>
      <c r="DN12" s="154"/>
      <c r="DO12" s="154"/>
      <c r="DP12" s="154"/>
      <c r="DQ12" s="154"/>
      <c r="DR12" s="154"/>
      <c r="DS12" s="154"/>
      <c r="DT12" s="472"/>
    </row>
    <row r="13" spans="1:124" ht="20.100000000000001" customHeight="1">
      <c r="A13" s="479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474"/>
      <c r="AE13" s="474"/>
      <c r="AF13" s="474"/>
      <c r="AG13" s="474"/>
      <c r="AH13" s="47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470"/>
      <c r="CW13" s="470"/>
      <c r="CX13" s="470"/>
      <c r="CY13" s="470"/>
      <c r="CZ13" s="470"/>
      <c r="DA13" s="470"/>
      <c r="DB13" s="470"/>
      <c r="DC13" s="471"/>
      <c r="DD13" s="471"/>
      <c r="DE13" s="471"/>
      <c r="DF13" s="471"/>
      <c r="DG13" s="471"/>
      <c r="DH13" s="471"/>
      <c r="DI13" s="471"/>
      <c r="DJ13" s="471"/>
      <c r="DK13" s="471"/>
      <c r="DL13" s="471"/>
      <c r="DM13" s="154"/>
      <c r="DN13" s="154"/>
      <c r="DO13" s="154"/>
      <c r="DP13" s="154"/>
      <c r="DQ13" s="154"/>
      <c r="DR13" s="154"/>
      <c r="DS13" s="154"/>
      <c r="DT13" s="472"/>
    </row>
    <row r="14" spans="1:124" ht="20.100000000000001" customHeight="1">
      <c r="A14" s="479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474"/>
      <c r="AE14" s="474"/>
      <c r="AF14" s="474"/>
      <c r="AG14" s="474"/>
      <c r="AH14" s="47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470"/>
      <c r="CW14" s="470"/>
      <c r="CX14" s="470"/>
      <c r="CY14" s="470"/>
      <c r="CZ14" s="470"/>
      <c r="DA14" s="470"/>
      <c r="DB14" s="470"/>
      <c r="DC14" s="471"/>
      <c r="DD14" s="471"/>
      <c r="DE14" s="471"/>
      <c r="DF14" s="471"/>
      <c r="DG14" s="471"/>
      <c r="DH14" s="471"/>
      <c r="DI14" s="471"/>
      <c r="DJ14" s="471"/>
      <c r="DK14" s="471"/>
      <c r="DL14" s="471"/>
      <c r="DM14" s="154"/>
      <c r="DN14" s="154"/>
      <c r="DO14" s="154"/>
      <c r="DP14" s="154"/>
      <c r="DQ14" s="154"/>
      <c r="DR14" s="154"/>
      <c r="DS14" s="154"/>
      <c r="DT14" s="472"/>
    </row>
    <row r="15" spans="1:124" ht="20.100000000000001" customHeight="1">
      <c r="A15" s="479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474"/>
      <c r="AE15" s="474"/>
      <c r="AF15" s="474"/>
      <c r="AG15" s="474"/>
      <c r="AH15" s="47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470"/>
      <c r="CW15" s="470"/>
      <c r="CX15" s="470"/>
      <c r="CY15" s="470"/>
      <c r="CZ15" s="470"/>
      <c r="DA15" s="470"/>
      <c r="DB15" s="470"/>
      <c r="DC15" s="471"/>
      <c r="DD15" s="471"/>
      <c r="DE15" s="471"/>
      <c r="DF15" s="471"/>
      <c r="DG15" s="471"/>
      <c r="DH15" s="471"/>
      <c r="DI15" s="471"/>
      <c r="DJ15" s="471"/>
      <c r="DK15" s="471"/>
      <c r="DL15" s="471"/>
      <c r="DM15" s="154"/>
      <c r="DN15" s="154"/>
      <c r="DO15" s="154"/>
      <c r="DP15" s="154"/>
      <c r="DQ15" s="154"/>
      <c r="DR15" s="154"/>
      <c r="DS15" s="154"/>
      <c r="DT15" s="472"/>
    </row>
    <row r="16" spans="1:124" ht="20.100000000000001" customHeight="1">
      <c r="A16" s="479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474"/>
      <c r="AE16" s="474"/>
      <c r="AF16" s="474"/>
      <c r="AG16" s="474"/>
      <c r="AH16" s="47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470"/>
      <c r="CW16" s="470"/>
      <c r="CX16" s="470"/>
      <c r="CY16" s="470"/>
      <c r="CZ16" s="470"/>
      <c r="DA16" s="470"/>
      <c r="DB16" s="470"/>
      <c r="DC16" s="471"/>
      <c r="DD16" s="471"/>
      <c r="DE16" s="471"/>
      <c r="DF16" s="471"/>
      <c r="DG16" s="471"/>
      <c r="DH16" s="471"/>
      <c r="DI16" s="471"/>
      <c r="DJ16" s="471"/>
      <c r="DK16" s="471"/>
      <c r="DL16" s="471"/>
      <c r="DM16" s="154"/>
      <c r="DN16" s="154"/>
      <c r="DO16" s="154"/>
      <c r="DP16" s="154"/>
      <c r="DQ16" s="154"/>
      <c r="DR16" s="154"/>
      <c r="DS16" s="154"/>
      <c r="DT16" s="472"/>
    </row>
    <row r="17" spans="1:125" ht="20.100000000000001" customHeight="1">
      <c r="A17" s="479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474"/>
      <c r="AE17" s="474"/>
      <c r="AF17" s="474"/>
      <c r="AG17" s="474"/>
      <c r="AH17" s="47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470"/>
      <c r="CW17" s="470"/>
      <c r="CX17" s="470"/>
      <c r="CY17" s="470"/>
      <c r="CZ17" s="470"/>
      <c r="DA17" s="470"/>
      <c r="DB17" s="470"/>
      <c r="DC17" s="471"/>
      <c r="DD17" s="471"/>
      <c r="DE17" s="471"/>
      <c r="DF17" s="471"/>
      <c r="DG17" s="471"/>
      <c r="DH17" s="471"/>
      <c r="DI17" s="471"/>
      <c r="DJ17" s="471"/>
      <c r="DK17" s="471"/>
      <c r="DL17" s="471"/>
      <c r="DM17" s="154"/>
      <c r="DN17" s="154"/>
      <c r="DO17" s="154"/>
      <c r="DP17" s="154"/>
      <c r="DQ17" s="154"/>
      <c r="DR17" s="154"/>
      <c r="DS17" s="154"/>
      <c r="DT17" s="472"/>
    </row>
    <row r="18" spans="1:125" ht="20.100000000000001" customHeight="1">
      <c r="A18" s="479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474"/>
      <c r="AE18" s="474"/>
      <c r="AF18" s="474"/>
      <c r="AG18" s="474"/>
      <c r="AH18" s="47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470"/>
      <c r="CW18" s="470"/>
      <c r="CX18" s="470"/>
      <c r="CY18" s="470"/>
      <c r="CZ18" s="470"/>
      <c r="DA18" s="470"/>
      <c r="DB18" s="470"/>
      <c r="DC18" s="471"/>
      <c r="DD18" s="471"/>
      <c r="DE18" s="471"/>
      <c r="DF18" s="471"/>
      <c r="DG18" s="471"/>
      <c r="DH18" s="471"/>
      <c r="DI18" s="471"/>
      <c r="DJ18" s="471"/>
      <c r="DK18" s="471"/>
      <c r="DL18" s="471"/>
      <c r="DM18" s="154"/>
      <c r="DN18" s="154"/>
      <c r="DO18" s="154"/>
      <c r="DP18" s="154"/>
      <c r="DQ18" s="154"/>
      <c r="DR18" s="154"/>
      <c r="DS18" s="154"/>
      <c r="DT18" s="472"/>
    </row>
    <row r="19" spans="1:125" ht="20.100000000000001" customHeight="1">
      <c r="A19" s="47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474"/>
      <c r="AE19" s="474"/>
      <c r="AF19" s="474"/>
      <c r="AG19" s="474"/>
      <c r="AH19" s="47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470"/>
      <c r="CW19" s="470"/>
      <c r="CX19" s="470"/>
      <c r="CY19" s="470"/>
      <c r="CZ19" s="470"/>
      <c r="DA19" s="470"/>
      <c r="DB19" s="470"/>
      <c r="DC19" s="471"/>
      <c r="DD19" s="471"/>
      <c r="DE19" s="471"/>
      <c r="DF19" s="471"/>
      <c r="DG19" s="471"/>
      <c r="DH19" s="471"/>
      <c r="DI19" s="471"/>
      <c r="DJ19" s="471"/>
      <c r="DK19" s="471"/>
      <c r="DL19" s="471"/>
      <c r="DM19" s="154"/>
      <c r="DN19" s="154"/>
      <c r="DO19" s="154"/>
      <c r="DP19" s="154"/>
      <c r="DQ19" s="154"/>
      <c r="DR19" s="154"/>
      <c r="DS19" s="154"/>
      <c r="DT19" s="472"/>
    </row>
    <row r="20" spans="1:125" ht="20.100000000000001" customHeight="1" thickBot="1">
      <c r="A20" s="480"/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481"/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81"/>
      <c r="AB20" s="481"/>
      <c r="AC20" s="481"/>
      <c r="AD20" s="474"/>
      <c r="AE20" s="474"/>
      <c r="AF20" s="474"/>
      <c r="AG20" s="474"/>
      <c r="AH20" s="474"/>
      <c r="AI20" s="481"/>
      <c r="AJ20" s="481"/>
      <c r="AK20" s="481"/>
      <c r="AL20" s="481"/>
      <c r="AM20" s="481"/>
      <c r="AN20" s="481"/>
      <c r="AO20" s="481"/>
      <c r="AP20" s="481"/>
      <c r="AQ20" s="481"/>
      <c r="AR20" s="481"/>
      <c r="AS20" s="481"/>
      <c r="AT20" s="481"/>
      <c r="AU20" s="481"/>
      <c r="AV20" s="481"/>
      <c r="AW20" s="481"/>
      <c r="AX20" s="481"/>
      <c r="AY20" s="481"/>
      <c r="AZ20" s="481"/>
      <c r="BA20" s="481"/>
      <c r="BB20" s="481"/>
      <c r="BC20" s="481"/>
      <c r="BD20" s="481"/>
      <c r="BE20" s="481"/>
      <c r="BF20" s="481"/>
      <c r="BG20" s="481"/>
      <c r="BH20" s="481"/>
      <c r="BI20" s="481"/>
      <c r="BJ20" s="481"/>
      <c r="BK20" s="481"/>
      <c r="BL20" s="481"/>
      <c r="BM20" s="481"/>
      <c r="BN20" s="481"/>
      <c r="BO20" s="481"/>
      <c r="BP20" s="481"/>
      <c r="BQ20" s="481"/>
      <c r="BR20" s="481"/>
      <c r="BS20" s="481"/>
      <c r="BT20" s="481"/>
      <c r="BU20" s="481"/>
      <c r="BV20" s="481"/>
      <c r="BW20" s="481"/>
      <c r="BX20" s="481"/>
      <c r="BY20" s="481"/>
      <c r="BZ20" s="481"/>
      <c r="CA20" s="481"/>
      <c r="CB20" s="481"/>
      <c r="CC20" s="481"/>
      <c r="CD20" s="481"/>
      <c r="CE20" s="481"/>
      <c r="CF20" s="481"/>
      <c r="CG20" s="481"/>
      <c r="CH20" s="481"/>
      <c r="CI20" s="481"/>
      <c r="CJ20" s="481"/>
      <c r="CK20" s="481"/>
      <c r="CL20" s="481"/>
      <c r="CM20" s="481"/>
      <c r="CN20" s="481"/>
      <c r="CO20" s="481"/>
      <c r="CP20" s="481"/>
      <c r="CQ20" s="481"/>
      <c r="CR20" s="481"/>
      <c r="CS20" s="481"/>
      <c r="CT20" s="481"/>
      <c r="CU20" s="481"/>
      <c r="CV20" s="470"/>
      <c r="CW20" s="470"/>
      <c r="CX20" s="470"/>
      <c r="CY20" s="470"/>
      <c r="CZ20" s="470"/>
      <c r="DA20" s="470"/>
      <c r="DB20" s="470"/>
      <c r="DC20" s="471"/>
      <c r="DD20" s="471"/>
      <c r="DE20" s="471"/>
      <c r="DF20" s="471"/>
      <c r="DG20" s="471"/>
      <c r="DH20" s="471"/>
      <c r="DI20" s="471"/>
      <c r="DJ20" s="471"/>
      <c r="DK20" s="471"/>
      <c r="DL20" s="471"/>
      <c r="DM20" s="481"/>
      <c r="DN20" s="481"/>
      <c r="DO20" s="481"/>
      <c r="DP20" s="481"/>
      <c r="DQ20" s="481"/>
      <c r="DR20" s="481"/>
      <c r="DS20" s="481"/>
      <c r="DT20" s="484"/>
    </row>
    <row r="21" spans="1:125" ht="39.9" customHeight="1" thickBot="1">
      <c r="A21" s="3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323" t="s">
        <v>92</v>
      </c>
      <c r="BU21" s="323"/>
      <c r="BV21" s="323"/>
      <c r="BW21" s="323"/>
      <c r="BX21" s="323"/>
      <c r="BY21" s="323"/>
      <c r="BZ21" s="323"/>
      <c r="CA21" s="323"/>
      <c r="CB21" s="323"/>
      <c r="CC21" s="323"/>
      <c r="CD21" s="323"/>
      <c r="CE21" s="323"/>
      <c r="CF21" s="323"/>
      <c r="CG21" s="323"/>
      <c r="CH21" s="323"/>
      <c r="CI21" s="323"/>
      <c r="CJ21" s="323"/>
      <c r="CK21" s="323"/>
      <c r="CL21" s="323"/>
      <c r="CM21" s="323"/>
      <c r="CN21" s="323"/>
      <c r="CO21" s="323"/>
      <c r="CP21" s="323"/>
      <c r="CQ21" s="323"/>
      <c r="CR21" s="323"/>
      <c r="CS21" s="323"/>
      <c r="CT21" s="323"/>
      <c r="CU21" s="323"/>
      <c r="CV21" s="323"/>
      <c r="CW21" s="323"/>
      <c r="CX21" s="323"/>
      <c r="CY21" s="323"/>
      <c r="CZ21" s="323"/>
      <c r="DA21" s="323"/>
      <c r="DB21" s="34"/>
      <c r="DC21" s="327" t="s">
        <v>206</v>
      </c>
      <c r="DD21" s="328"/>
      <c r="DE21" s="482">
        <f>SUM(DC9:DL11)</f>
        <v>73000</v>
      </c>
      <c r="DF21" s="482"/>
      <c r="DG21" s="482"/>
      <c r="DH21" s="482"/>
      <c r="DI21" s="482"/>
      <c r="DJ21" s="482"/>
      <c r="DK21" s="482"/>
      <c r="DL21" s="482"/>
      <c r="DM21" s="482"/>
      <c r="DN21" s="482"/>
      <c r="DO21" s="482"/>
      <c r="DP21" s="482"/>
      <c r="DQ21" s="482"/>
      <c r="DR21" s="482"/>
      <c r="DS21" s="482"/>
      <c r="DT21" s="483"/>
      <c r="DU21" s="51">
        <f>+DE21</f>
        <v>73000</v>
      </c>
    </row>
    <row r="22" spans="1:125" ht="35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324" t="s">
        <v>93</v>
      </c>
      <c r="DO22" s="324"/>
      <c r="DP22" s="324"/>
      <c r="DQ22" s="324"/>
      <c r="DR22" s="324"/>
      <c r="DS22" s="324"/>
      <c r="DT22" s="1"/>
    </row>
  </sheetData>
  <mergeCells count="207">
    <mergeCell ref="DC21:DD21"/>
    <mergeCell ref="DE21:DT21"/>
    <mergeCell ref="BT21:DA21"/>
    <mergeCell ref="DN22:DS22"/>
    <mergeCell ref="CH19:CN19"/>
    <mergeCell ref="CO19:CU19"/>
    <mergeCell ref="CV19:DB19"/>
    <mergeCell ref="DC19:DL19"/>
    <mergeCell ref="DM19:DT19"/>
    <mergeCell ref="CH20:CN20"/>
    <mergeCell ref="CO20:CU20"/>
    <mergeCell ref="CV20:DB20"/>
    <mergeCell ref="DC20:DL20"/>
    <mergeCell ref="DM20:DT20"/>
    <mergeCell ref="A20:O20"/>
    <mergeCell ref="P20:W20"/>
    <mergeCell ref="X20:AC20"/>
    <mergeCell ref="AD20:AH20"/>
    <mergeCell ref="AI20:BE20"/>
    <mergeCell ref="BF20:BL20"/>
    <mergeCell ref="BM20:BS20"/>
    <mergeCell ref="BT20:BZ20"/>
    <mergeCell ref="CA20:CG20"/>
    <mergeCell ref="DC18:DL18"/>
    <mergeCell ref="DM18:DT18"/>
    <mergeCell ref="A17:O17"/>
    <mergeCell ref="P17:W17"/>
    <mergeCell ref="X17:AC17"/>
    <mergeCell ref="A19:O19"/>
    <mergeCell ref="P19:W19"/>
    <mergeCell ref="X19:AC19"/>
    <mergeCell ref="AD19:AH19"/>
    <mergeCell ref="AI19:BE19"/>
    <mergeCell ref="BF19:BL19"/>
    <mergeCell ref="BM19:BS19"/>
    <mergeCell ref="BT19:BZ19"/>
    <mergeCell ref="CA19:CG19"/>
    <mergeCell ref="A18:O18"/>
    <mergeCell ref="P18:W18"/>
    <mergeCell ref="X18:AC18"/>
    <mergeCell ref="AD18:AH18"/>
    <mergeCell ref="AI18:BE18"/>
    <mergeCell ref="BF18:BL18"/>
    <mergeCell ref="BM18:BS18"/>
    <mergeCell ref="BT18:BZ18"/>
    <mergeCell ref="CA18:CG18"/>
    <mergeCell ref="AD17:AH17"/>
    <mergeCell ref="AI17:BE17"/>
    <mergeCell ref="BF17:BL17"/>
    <mergeCell ref="BM17:BS17"/>
    <mergeCell ref="CH16:CN16"/>
    <mergeCell ref="CO16:CU16"/>
    <mergeCell ref="CV16:DB16"/>
    <mergeCell ref="CH18:CN18"/>
    <mergeCell ref="CO18:CU18"/>
    <mergeCell ref="CV18:DB18"/>
    <mergeCell ref="DC16:DL16"/>
    <mergeCell ref="DM16:DT16"/>
    <mergeCell ref="BF16:BL16"/>
    <mergeCell ref="BM16:BS16"/>
    <mergeCell ref="BT16:BZ16"/>
    <mergeCell ref="CA16:CG16"/>
    <mergeCell ref="CH17:CN17"/>
    <mergeCell ref="CO17:CU17"/>
    <mergeCell ref="BT17:BZ17"/>
    <mergeCell ref="CA17:CG17"/>
    <mergeCell ref="CV17:DB17"/>
    <mergeCell ref="DC17:DL17"/>
    <mergeCell ref="DM17:DT17"/>
    <mergeCell ref="A15:O15"/>
    <mergeCell ref="P15:W15"/>
    <mergeCell ref="X15:AC15"/>
    <mergeCell ref="AD15:AH15"/>
    <mergeCell ref="AI15:BE15"/>
    <mergeCell ref="A16:O16"/>
    <mergeCell ref="P16:W16"/>
    <mergeCell ref="X16:AC16"/>
    <mergeCell ref="AD16:AH16"/>
    <mergeCell ref="AI16:BE16"/>
    <mergeCell ref="BF15:BL15"/>
    <mergeCell ref="BM15:BS15"/>
    <mergeCell ref="BT15:BZ15"/>
    <mergeCell ref="CA15:CG15"/>
    <mergeCell ref="CH15:CN15"/>
    <mergeCell ref="CO15:CU15"/>
    <mergeCell ref="CV15:DB15"/>
    <mergeCell ref="DC15:DL15"/>
    <mergeCell ref="DM15:DT15"/>
    <mergeCell ref="A14:O14"/>
    <mergeCell ref="P14:W14"/>
    <mergeCell ref="X14:AC14"/>
    <mergeCell ref="AD14:AH14"/>
    <mergeCell ref="AI14:BE14"/>
    <mergeCell ref="BF14:BL14"/>
    <mergeCell ref="BM14:BS14"/>
    <mergeCell ref="BT14:BZ14"/>
    <mergeCell ref="CA14:CG14"/>
    <mergeCell ref="CH14:CN14"/>
    <mergeCell ref="CH12:CN12"/>
    <mergeCell ref="CO12:CU12"/>
    <mergeCell ref="CV12:DB12"/>
    <mergeCell ref="DC12:DL12"/>
    <mergeCell ref="DM12:DT12"/>
    <mergeCell ref="CH13:CN13"/>
    <mergeCell ref="CO13:CU13"/>
    <mergeCell ref="CV13:DB13"/>
    <mergeCell ref="DC13:DL13"/>
    <mergeCell ref="DM13:DT13"/>
    <mergeCell ref="CO14:CU14"/>
    <mergeCell ref="CV14:DB14"/>
    <mergeCell ref="DC14:DL14"/>
    <mergeCell ref="DM14:DT14"/>
    <mergeCell ref="A13:O13"/>
    <mergeCell ref="P13:W13"/>
    <mergeCell ref="X13:AC13"/>
    <mergeCell ref="AD13:AH13"/>
    <mergeCell ref="AI13:BE13"/>
    <mergeCell ref="BF13:BL13"/>
    <mergeCell ref="BM13:BS13"/>
    <mergeCell ref="BT13:BZ13"/>
    <mergeCell ref="CA13:CG13"/>
    <mergeCell ref="A12:O12"/>
    <mergeCell ref="P12:W12"/>
    <mergeCell ref="X12:AC12"/>
    <mergeCell ref="AD12:AH12"/>
    <mergeCell ref="AI12:BE12"/>
    <mergeCell ref="BF12:BL12"/>
    <mergeCell ref="BM12:BS12"/>
    <mergeCell ref="BT12:BZ12"/>
    <mergeCell ref="CA12:CG12"/>
    <mergeCell ref="CH11:CN11"/>
    <mergeCell ref="CO11:CU11"/>
    <mergeCell ref="CV11:DB11"/>
    <mergeCell ref="DC11:DL11"/>
    <mergeCell ref="DM11:DT11"/>
    <mergeCell ref="A10:O10"/>
    <mergeCell ref="P10:W10"/>
    <mergeCell ref="X10:AC10"/>
    <mergeCell ref="AD10:AH10"/>
    <mergeCell ref="AI10:BE10"/>
    <mergeCell ref="A11:O11"/>
    <mergeCell ref="P11:W11"/>
    <mergeCell ref="X11:AC11"/>
    <mergeCell ref="AD11:AH11"/>
    <mergeCell ref="AI11:BE11"/>
    <mergeCell ref="BF11:BL11"/>
    <mergeCell ref="BM11:BS11"/>
    <mergeCell ref="BT11:BZ11"/>
    <mergeCell ref="CA11:CG11"/>
    <mergeCell ref="BF10:BL10"/>
    <mergeCell ref="BM10:BS10"/>
    <mergeCell ref="BT10:BZ10"/>
    <mergeCell ref="CA10:CG10"/>
    <mergeCell ref="CH10:CN10"/>
    <mergeCell ref="CH8:CN8"/>
    <mergeCell ref="CO8:CU8"/>
    <mergeCell ref="CV8:DB8"/>
    <mergeCell ref="DC8:DL8"/>
    <mergeCell ref="DM8:DT8"/>
    <mergeCell ref="CH9:CN9"/>
    <mergeCell ref="CO9:CU9"/>
    <mergeCell ref="CV9:DB9"/>
    <mergeCell ref="DC9:DL9"/>
    <mergeCell ref="DM9:DT9"/>
    <mergeCell ref="CO10:CU10"/>
    <mergeCell ref="CV10:DB10"/>
    <mergeCell ref="DC10:DL10"/>
    <mergeCell ref="DM10:DT10"/>
    <mergeCell ref="A9:O9"/>
    <mergeCell ref="P9:W9"/>
    <mergeCell ref="X9:AC9"/>
    <mergeCell ref="AD9:AH9"/>
    <mergeCell ref="AI9:BE9"/>
    <mergeCell ref="BF9:BL9"/>
    <mergeCell ref="BM9:BS9"/>
    <mergeCell ref="BT9:BZ9"/>
    <mergeCell ref="CA9:CG9"/>
    <mergeCell ref="A8:O8"/>
    <mergeCell ref="P8:W8"/>
    <mergeCell ref="X8:AC8"/>
    <mergeCell ref="AD8:AH8"/>
    <mergeCell ref="AI8:BE8"/>
    <mergeCell ref="BF8:BL8"/>
    <mergeCell ref="BM8:BS8"/>
    <mergeCell ref="BT8:BZ8"/>
    <mergeCell ref="CA8:CG8"/>
    <mergeCell ref="DD3:DH3"/>
    <mergeCell ref="DJ3:DS3"/>
    <mergeCell ref="A5:CN5"/>
    <mergeCell ref="A7:O7"/>
    <mergeCell ref="P7:W7"/>
    <mergeCell ref="X7:AC7"/>
    <mergeCell ref="AD7:AH7"/>
    <mergeCell ref="AI7:BE7"/>
    <mergeCell ref="BF7:CU7"/>
    <mergeCell ref="CV7:DB7"/>
    <mergeCell ref="DC7:DL7"/>
    <mergeCell ref="DM7:DT7"/>
    <mergeCell ref="A2:AA2"/>
    <mergeCell ref="A3:E3"/>
    <mergeCell ref="G3:AA3"/>
    <mergeCell ref="AB3:AG3"/>
    <mergeCell ref="AI3:BF3"/>
    <mergeCell ref="BQ3:BV3"/>
    <mergeCell ref="BX3:CF3"/>
    <mergeCell ref="CG3:CL3"/>
    <mergeCell ref="CN3:CV3"/>
  </mergeCells>
  <printOptions horizontalCentered="1"/>
  <pageMargins left="0.8" right="0.2" top="0.15" bottom="0.05" header="0.3" footer="0.3"/>
  <pageSetup paperSize="5" scale="7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U39"/>
  <sheetViews>
    <sheetView topLeftCell="B19" zoomScaleNormal="100" workbookViewId="0">
      <selection activeCell="DB41" sqref="DB41"/>
    </sheetView>
  </sheetViews>
  <sheetFormatPr defaultColWidth="9" defaultRowHeight="14.4"/>
  <cols>
    <col min="1" max="124" width="1.6640625" customWidth="1"/>
    <col min="125" max="125" width="13.33203125" bestFit="1" customWidth="1"/>
  </cols>
  <sheetData>
    <row r="1" spans="1:124" ht="8.1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</row>
    <row r="2" spans="1:124" ht="18" customHeight="1">
      <c r="A2" s="485" t="s">
        <v>61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485"/>
      <c r="AE2" s="485"/>
      <c r="AF2" s="48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</row>
    <row r="3" spans="1:124" ht="35.1" customHeight="1">
      <c r="A3" s="233" t="s">
        <v>4</v>
      </c>
      <c r="B3" s="234"/>
      <c r="C3" s="234"/>
      <c r="D3" s="234"/>
      <c r="E3" s="234"/>
      <c r="F3" s="26"/>
      <c r="G3" s="486" t="s">
        <v>197</v>
      </c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8"/>
      <c r="AG3" s="233" t="s">
        <v>5</v>
      </c>
      <c r="AH3" s="234"/>
      <c r="AI3" s="234"/>
      <c r="AJ3" s="234"/>
      <c r="AK3" s="234"/>
      <c r="AL3" s="234"/>
      <c r="AM3" s="26"/>
      <c r="AN3" s="486" t="s">
        <v>6</v>
      </c>
      <c r="AO3" s="487"/>
      <c r="AP3" s="487"/>
      <c r="AQ3" s="487"/>
      <c r="AR3" s="487"/>
      <c r="AS3" s="487"/>
      <c r="AT3" s="487"/>
      <c r="AU3" s="487"/>
      <c r="AV3" s="487"/>
      <c r="AW3" s="487"/>
      <c r="AX3" s="487"/>
      <c r="AY3" s="487"/>
      <c r="AZ3" s="487"/>
      <c r="BA3" s="487"/>
      <c r="BB3" s="487"/>
      <c r="BC3" s="487"/>
      <c r="BD3" s="487"/>
      <c r="BE3" s="487"/>
      <c r="BF3" s="487"/>
      <c r="BG3" s="487"/>
      <c r="BH3" s="487"/>
      <c r="BI3" s="488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33" t="s">
        <v>8</v>
      </c>
      <c r="BV3" s="234"/>
      <c r="BW3" s="234"/>
      <c r="BX3" s="234"/>
      <c r="BY3" s="234"/>
      <c r="BZ3" s="234"/>
      <c r="CA3" s="489">
        <v>1009</v>
      </c>
      <c r="CB3" s="487"/>
      <c r="CC3" s="487"/>
      <c r="CD3" s="487"/>
      <c r="CE3" s="487"/>
      <c r="CF3" s="487"/>
      <c r="CG3" s="488"/>
      <c r="CH3" s="233" t="s">
        <v>9</v>
      </c>
      <c r="CI3" s="234"/>
      <c r="CJ3" s="234"/>
      <c r="CK3" s="234"/>
      <c r="CL3" s="234"/>
      <c r="CM3" s="234"/>
      <c r="CN3" s="489">
        <v>3</v>
      </c>
      <c r="CO3" s="487"/>
      <c r="CP3" s="487"/>
      <c r="CQ3" s="487"/>
      <c r="CR3" s="487"/>
      <c r="CS3" s="487"/>
      <c r="CT3" s="488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33" t="s">
        <v>62</v>
      </c>
      <c r="DI3" s="234"/>
      <c r="DJ3" s="234"/>
      <c r="DK3" s="234"/>
      <c r="DL3" s="234"/>
      <c r="DM3" s="487">
        <v>2024</v>
      </c>
      <c r="DN3" s="487"/>
      <c r="DO3" s="487"/>
      <c r="DP3" s="487"/>
      <c r="DQ3" s="487"/>
      <c r="DR3" s="487"/>
      <c r="DS3" s="487"/>
      <c r="DT3" s="488"/>
    </row>
    <row r="4" spans="1:124" ht="8.1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</row>
    <row r="5" spans="1:124" ht="24.9" customHeight="1">
      <c r="A5" s="457" t="s">
        <v>94</v>
      </c>
      <c r="B5" s="458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  <c r="AH5" s="458"/>
      <c r="AI5" s="458"/>
      <c r="AJ5" s="458"/>
      <c r="AK5" s="458"/>
      <c r="AL5" s="458"/>
      <c r="AM5" s="458"/>
      <c r="AN5" s="458"/>
      <c r="AO5" s="458"/>
      <c r="AP5" s="458"/>
      <c r="AQ5" s="458"/>
      <c r="AR5" s="458"/>
      <c r="AS5" s="458"/>
      <c r="AT5" s="458"/>
      <c r="AU5" s="458"/>
      <c r="AV5" s="458"/>
      <c r="AW5" s="458"/>
      <c r="AX5" s="458"/>
      <c r="AY5" s="458"/>
      <c r="AZ5" s="458"/>
      <c r="BA5" s="458"/>
      <c r="BB5" s="458"/>
      <c r="BC5" s="458"/>
      <c r="BD5" s="458"/>
      <c r="BE5" s="458"/>
      <c r="BF5" s="458"/>
      <c r="BG5" s="458"/>
      <c r="BH5" s="458"/>
      <c r="BI5" s="458"/>
      <c r="BJ5" s="458"/>
      <c r="BK5" s="458"/>
      <c r="BL5" s="458"/>
      <c r="BM5" s="458"/>
      <c r="BN5" s="458"/>
      <c r="BO5" s="458"/>
      <c r="BP5" s="458"/>
      <c r="BQ5" s="458"/>
      <c r="BR5" s="458"/>
      <c r="BS5" s="458"/>
      <c r="BT5" s="458"/>
      <c r="BU5" s="458"/>
      <c r="BV5" s="458"/>
      <c r="BW5" s="458"/>
      <c r="BX5" s="458"/>
      <c r="BY5" s="458"/>
      <c r="BZ5" s="458"/>
      <c r="CA5" s="458"/>
      <c r="CB5" s="458"/>
      <c r="CC5" s="458"/>
      <c r="CD5" s="458"/>
      <c r="CE5" s="458"/>
      <c r="CF5" s="458"/>
      <c r="CG5" s="458"/>
      <c r="CH5" s="458"/>
      <c r="CI5" s="458"/>
      <c r="CJ5" s="458"/>
      <c r="CK5" s="458"/>
      <c r="CL5" s="458"/>
      <c r="CM5" s="458"/>
      <c r="CN5" s="458"/>
      <c r="CO5" s="458"/>
      <c r="CP5" s="458"/>
      <c r="CQ5" s="45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32"/>
    </row>
    <row r="6" spans="1:124" ht="8.1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</row>
    <row r="7" spans="1:124" ht="14.1" customHeight="1">
      <c r="A7" s="459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490"/>
      <c r="Q7" s="459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490"/>
      <c r="AD7" s="459"/>
      <c r="AE7" s="248"/>
      <c r="AF7" s="248"/>
      <c r="AG7" s="248"/>
      <c r="AH7" s="248"/>
      <c r="AI7" s="490"/>
      <c r="AJ7" s="459"/>
      <c r="AK7" s="248"/>
      <c r="AL7" s="248"/>
      <c r="AM7" s="248"/>
      <c r="AN7" s="490"/>
      <c r="AO7" s="459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8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490"/>
      <c r="BY7" s="459"/>
      <c r="BZ7" s="248"/>
      <c r="CA7" s="248"/>
      <c r="CB7" s="248"/>
      <c r="CC7" s="248"/>
      <c r="CD7" s="490"/>
      <c r="CE7" s="459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490"/>
      <c r="CQ7" s="459" t="s">
        <v>95</v>
      </c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490"/>
      <c r="DK7" s="459"/>
      <c r="DL7" s="248"/>
      <c r="DM7" s="248"/>
      <c r="DN7" s="248"/>
      <c r="DO7" s="248"/>
      <c r="DP7" s="248"/>
      <c r="DQ7" s="248"/>
      <c r="DR7" s="248"/>
      <c r="DS7" s="248"/>
      <c r="DT7" s="490"/>
    </row>
    <row r="8" spans="1:124" ht="14.1" customHeight="1">
      <c r="A8" s="491" t="s">
        <v>96</v>
      </c>
      <c r="B8" s="492"/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2"/>
      <c r="O8" s="492"/>
      <c r="P8" s="493"/>
      <c r="Q8" s="491"/>
      <c r="R8" s="492"/>
      <c r="S8" s="492"/>
      <c r="T8" s="492"/>
      <c r="U8" s="492"/>
      <c r="V8" s="492"/>
      <c r="W8" s="492"/>
      <c r="X8" s="492"/>
      <c r="Y8" s="492"/>
      <c r="Z8" s="492"/>
      <c r="AA8" s="492"/>
      <c r="AB8" s="492"/>
      <c r="AC8" s="493"/>
      <c r="AD8" s="491" t="s">
        <v>65</v>
      </c>
      <c r="AE8" s="492"/>
      <c r="AF8" s="492"/>
      <c r="AG8" s="492"/>
      <c r="AH8" s="492"/>
      <c r="AI8" s="493"/>
      <c r="AJ8" s="491"/>
      <c r="AK8" s="492"/>
      <c r="AL8" s="492"/>
      <c r="AM8" s="492"/>
      <c r="AN8" s="493"/>
      <c r="AO8" s="491"/>
      <c r="AP8" s="492"/>
      <c r="AQ8" s="492"/>
      <c r="AR8" s="492"/>
      <c r="AS8" s="492"/>
      <c r="AT8" s="492"/>
      <c r="AU8" s="492"/>
      <c r="AV8" s="492"/>
      <c r="AW8" s="492"/>
      <c r="AX8" s="492"/>
      <c r="AY8" s="492"/>
      <c r="AZ8" s="492"/>
      <c r="BA8" s="492"/>
      <c r="BB8" s="492"/>
      <c r="BC8" s="492"/>
      <c r="BD8" s="492"/>
      <c r="BE8" s="492"/>
      <c r="BF8" s="492"/>
      <c r="BG8" s="492"/>
      <c r="BH8" s="492"/>
      <c r="BI8" s="492"/>
      <c r="BJ8" s="492"/>
      <c r="BK8" s="492"/>
      <c r="BL8" s="492"/>
      <c r="BM8" s="492"/>
      <c r="BN8" s="492"/>
      <c r="BO8" s="492"/>
      <c r="BP8" s="492"/>
      <c r="BQ8" s="492"/>
      <c r="BR8" s="492"/>
      <c r="BS8" s="492"/>
      <c r="BT8" s="492"/>
      <c r="BU8" s="492"/>
      <c r="BV8" s="492"/>
      <c r="BW8" s="492"/>
      <c r="BX8" s="493"/>
      <c r="BY8" s="491"/>
      <c r="BZ8" s="492"/>
      <c r="CA8" s="492"/>
      <c r="CB8" s="492"/>
      <c r="CC8" s="492"/>
      <c r="CD8" s="493"/>
      <c r="CE8" s="491"/>
      <c r="CF8" s="492"/>
      <c r="CG8" s="492"/>
      <c r="CH8" s="492"/>
      <c r="CI8" s="492"/>
      <c r="CJ8" s="492"/>
      <c r="CK8" s="492"/>
      <c r="CL8" s="492"/>
      <c r="CM8" s="492"/>
      <c r="CN8" s="492"/>
      <c r="CO8" s="492"/>
      <c r="CP8" s="493"/>
      <c r="CQ8" s="491" t="s">
        <v>97</v>
      </c>
      <c r="CR8" s="492"/>
      <c r="CS8" s="492"/>
      <c r="CT8" s="492"/>
      <c r="CU8" s="492"/>
      <c r="CV8" s="492"/>
      <c r="CW8" s="492"/>
      <c r="CX8" s="492"/>
      <c r="CY8" s="492"/>
      <c r="CZ8" s="492"/>
      <c r="DA8" s="492"/>
      <c r="DB8" s="492"/>
      <c r="DC8" s="492"/>
      <c r="DD8" s="492"/>
      <c r="DE8" s="492"/>
      <c r="DF8" s="492"/>
      <c r="DG8" s="492"/>
      <c r="DH8" s="492"/>
      <c r="DI8" s="492"/>
      <c r="DJ8" s="493"/>
      <c r="DK8" s="491" t="s">
        <v>98</v>
      </c>
      <c r="DL8" s="492"/>
      <c r="DM8" s="492"/>
      <c r="DN8" s="492"/>
      <c r="DO8" s="492"/>
      <c r="DP8" s="492"/>
      <c r="DQ8" s="492"/>
      <c r="DR8" s="492"/>
      <c r="DS8" s="492"/>
      <c r="DT8" s="493"/>
    </row>
    <row r="9" spans="1:124" ht="14.1" customHeight="1">
      <c r="A9" s="494" t="s">
        <v>99</v>
      </c>
      <c r="B9" s="495"/>
      <c r="C9" s="495"/>
      <c r="D9" s="495"/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6"/>
      <c r="Q9" s="494" t="s">
        <v>68</v>
      </c>
      <c r="R9" s="495"/>
      <c r="S9" s="495"/>
      <c r="T9" s="495"/>
      <c r="U9" s="495"/>
      <c r="V9" s="495"/>
      <c r="W9" s="495"/>
      <c r="X9" s="495"/>
      <c r="Y9" s="495"/>
      <c r="Z9" s="495"/>
      <c r="AA9" s="495"/>
      <c r="AB9" s="495"/>
      <c r="AC9" s="496"/>
      <c r="AD9" s="494" t="s">
        <v>69</v>
      </c>
      <c r="AE9" s="495"/>
      <c r="AF9" s="495"/>
      <c r="AG9" s="495"/>
      <c r="AH9" s="495"/>
      <c r="AI9" s="496"/>
      <c r="AJ9" s="494" t="s">
        <v>70</v>
      </c>
      <c r="AK9" s="495"/>
      <c r="AL9" s="495"/>
      <c r="AM9" s="495"/>
      <c r="AN9" s="496"/>
      <c r="AO9" s="494" t="s">
        <v>71</v>
      </c>
      <c r="AP9" s="495"/>
      <c r="AQ9" s="495"/>
      <c r="AR9" s="495"/>
      <c r="AS9" s="495"/>
      <c r="AT9" s="495"/>
      <c r="AU9" s="495"/>
      <c r="AV9" s="495"/>
      <c r="AW9" s="495"/>
      <c r="AX9" s="495"/>
      <c r="AY9" s="495"/>
      <c r="AZ9" s="495"/>
      <c r="BA9" s="495"/>
      <c r="BB9" s="495"/>
      <c r="BC9" s="495"/>
      <c r="BD9" s="495"/>
      <c r="BE9" s="495"/>
      <c r="BF9" s="495"/>
      <c r="BG9" s="495"/>
      <c r="BH9" s="495"/>
      <c r="BI9" s="495"/>
      <c r="BJ9" s="495"/>
      <c r="BK9" s="495"/>
      <c r="BL9" s="495"/>
      <c r="BM9" s="495"/>
      <c r="BN9" s="495"/>
      <c r="BO9" s="495"/>
      <c r="BP9" s="495"/>
      <c r="BQ9" s="495"/>
      <c r="BR9" s="495"/>
      <c r="BS9" s="495"/>
      <c r="BT9" s="495"/>
      <c r="BU9" s="495"/>
      <c r="BV9" s="495"/>
      <c r="BW9" s="495"/>
      <c r="BX9" s="496"/>
      <c r="BY9" s="494" t="s">
        <v>78</v>
      </c>
      <c r="BZ9" s="495"/>
      <c r="CA9" s="495"/>
      <c r="CB9" s="495"/>
      <c r="CC9" s="495"/>
      <c r="CD9" s="496"/>
      <c r="CE9" s="494" t="s">
        <v>79</v>
      </c>
      <c r="CF9" s="495"/>
      <c r="CG9" s="495"/>
      <c r="CH9" s="495"/>
      <c r="CI9" s="495"/>
      <c r="CJ9" s="495"/>
      <c r="CK9" s="495"/>
      <c r="CL9" s="495"/>
      <c r="CM9" s="495"/>
      <c r="CN9" s="495"/>
      <c r="CO9" s="495"/>
      <c r="CP9" s="496"/>
      <c r="CQ9" s="494" t="s">
        <v>100</v>
      </c>
      <c r="CR9" s="495"/>
      <c r="CS9" s="495"/>
      <c r="CT9" s="495"/>
      <c r="CU9" s="495"/>
      <c r="CV9" s="495"/>
      <c r="CW9" s="495"/>
      <c r="CX9" s="495"/>
      <c r="CY9" s="495"/>
      <c r="CZ9" s="495"/>
      <c r="DA9" s="495"/>
      <c r="DB9" s="495"/>
      <c r="DC9" s="495"/>
      <c r="DD9" s="495"/>
      <c r="DE9" s="495"/>
      <c r="DF9" s="495"/>
      <c r="DG9" s="495"/>
      <c r="DH9" s="495"/>
      <c r="DI9" s="495"/>
      <c r="DJ9" s="496"/>
      <c r="DK9" s="494" t="s">
        <v>101</v>
      </c>
      <c r="DL9" s="495"/>
      <c r="DM9" s="495"/>
      <c r="DN9" s="495"/>
      <c r="DO9" s="495"/>
      <c r="DP9" s="495"/>
      <c r="DQ9" s="495"/>
      <c r="DR9" s="495"/>
      <c r="DS9" s="495"/>
      <c r="DT9" s="496"/>
    </row>
    <row r="10" spans="1:124" ht="21" customHeight="1">
      <c r="A10" s="497"/>
      <c r="B10" s="498"/>
      <c r="C10" s="498"/>
      <c r="D10" s="498"/>
      <c r="E10" s="498"/>
      <c r="F10" s="498"/>
      <c r="G10" s="498"/>
      <c r="H10" s="498"/>
      <c r="I10" s="498"/>
      <c r="J10" s="49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  <c r="W10" s="498"/>
      <c r="X10" s="498"/>
      <c r="Y10" s="498"/>
      <c r="Z10" s="498"/>
      <c r="AA10" s="498"/>
      <c r="AB10" s="498"/>
      <c r="AC10" s="498"/>
      <c r="AD10" s="498"/>
      <c r="AE10" s="498"/>
      <c r="AF10" s="498"/>
      <c r="AG10" s="498"/>
      <c r="AH10" s="498"/>
      <c r="AI10" s="498"/>
      <c r="AJ10" s="499"/>
      <c r="AK10" s="499"/>
      <c r="AL10" s="499"/>
      <c r="AM10" s="499"/>
      <c r="AN10" s="499"/>
      <c r="AO10" s="500" t="s">
        <v>838</v>
      </c>
      <c r="AP10" s="498"/>
      <c r="AQ10" s="498"/>
      <c r="AR10" s="498"/>
      <c r="AS10" s="498"/>
      <c r="AT10" s="498"/>
      <c r="AU10" s="498"/>
      <c r="AV10" s="498"/>
      <c r="AW10" s="498"/>
      <c r="AX10" s="498"/>
      <c r="AY10" s="498"/>
      <c r="AZ10" s="498"/>
      <c r="BA10" s="498"/>
      <c r="BB10" s="498"/>
      <c r="BC10" s="498"/>
      <c r="BD10" s="498"/>
      <c r="BE10" s="498"/>
      <c r="BF10" s="498"/>
      <c r="BG10" s="498"/>
      <c r="BH10" s="498"/>
      <c r="BI10" s="498"/>
      <c r="BJ10" s="498"/>
      <c r="BK10" s="498"/>
      <c r="BL10" s="498"/>
      <c r="BM10" s="498"/>
      <c r="BN10" s="498"/>
      <c r="BO10" s="498"/>
      <c r="BP10" s="498"/>
      <c r="BQ10" s="498"/>
      <c r="BR10" s="498"/>
      <c r="BS10" s="498"/>
      <c r="BT10" s="498"/>
      <c r="BU10" s="498"/>
      <c r="BV10" s="498"/>
      <c r="BW10" s="498"/>
      <c r="BX10" s="498"/>
      <c r="BY10" s="470"/>
      <c r="BZ10" s="470"/>
      <c r="CA10" s="470"/>
      <c r="CB10" s="470"/>
      <c r="CC10" s="470"/>
      <c r="CD10" s="470"/>
      <c r="CE10" s="501"/>
      <c r="CF10" s="501"/>
      <c r="CG10" s="501"/>
      <c r="CH10" s="501"/>
      <c r="CI10" s="501"/>
      <c r="CJ10" s="501"/>
      <c r="CK10" s="501"/>
      <c r="CL10" s="501"/>
      <c r="CM10" s="501"/>
      <c r="CN10" s="501"/>
      <c r="CO10" s="501"/>
      <c r="CP10" s="501"/>
      <c r="CQ10" s="498"/>
      <c r="CR10" s="498"/>
      <c r="CS10" s="498"/>
      <c r="CT10" s="498"/>
      <c r="CU10" s="498"/>
      <c r="CV10" s="498"/>
      <c r="CW10" s="498"/>
      <c r="CX10" s="498"/>
      <c r="CY10" s="498"/>
      <c r="CZ10" s="498"/>
      <c r="DA10" s="498"/>
      <c r="DB10" s="498"/>
      <c r="DC10" s="498"/>
      <c r="DD10" s="498"/>
      <c r="DE10" s="498"/>
      <c r="DF10" s="498"/>
      <c r="DG10" s="498"/>
      <c r="DH10" s="498"/>
      <c r="DI10" s="498"/>
      <c r="DJ10" s="498"/>
      <c r="DK10" s="498"/>
      <c r="DL10" s="498"/>
      <c r="DM10" s="498"/>
      <c r="DN10" s="498"/>
      <c r="DO10" s="498"/>
      <c r="DP10" s="498"/>
      <c r="DQ10" s="498"/>
      <c r="DR10" s="498"/>
      <c r="DS10" s="498"/>
      <c r="DT10" s="502"/>
    </row>
    <row r="11" spans="1:124" ht="21" customHeight="1">
      <c r="A11" s="503"/>
      <c r="B11" s="504"/>
      <c r="C11" s="504"/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4"/>
      <c r="AA11" s="504"/>
      <c r="AB11" s="504"/>
      <c r="AC11" s="504"/>
      <c r="AD11" s="504"/>
      <c r="AE11" s="504"/>
      <c r="AF11" s="504"/>
      <c r="AG11" s="504"/>
      <c r="AH11" s="504"/>
      <c r="AI11" s="504"/>
      <c r="AJ11" s="499"/>
      <c r="AK11" s="499"/>
      <c r="AL11" s="499"/>
      <c r="AM11" s="499"/>
      <c r="AN11" s="499"/>
      <c r="AO11" s="504"/>
      <c r="AP11" s="504"/>
      <c r="AQ11" s="504"/>
      <c r="AR11" s="504"/>
      <c r="AS11" s="504"/>
      <c r="AT11" s="504"/>
      <c r="AU11" s="504"/>
      <c r="AV11" s="504"/>
      <c r="AW11" s="504"/>
      <c r="AX11" s="504"/>
      <c r="AY11" s="504"/>
      <c r="AZ11" s="504"/>
      <c r="BA11" s="504"/>
      <c r="BB11" s="504"/>
      <c r="BC11" s="504"/>
      <c r="BD11" s="504"/>
      <c r="BE11" s="504"/>
      <c r="BF11" s="504"/>
      <c r="BG11" s="504"/>
      <c r="BH11" s="504"/>
      <c r="BI11" s="504"/>
      <c r="BJ11" s="504"/>
      <c r="BK11" s="504"/>
      <c r="BL11" s="504"/>
      <c r="BM11" s="504"/>
      <c r="BN11" s="504"/>
      <c r="BO11" s="504"/>
      <c r="BP11" s="504"/>
      <c r="BQ11" s="504"/>
      <c r="BR11" s="504"/>
      <c r="BS11" s="504"/>
      <c r="BT11" s="504"/>
      <c r="BU11" s="504"/>
      <c r="BV11" s="504"/>
      <c r="BW11" s="504"/>
      <c r="BX11" s="504"/>
      <c r="BY11" s="470"/>
      <c r="BZ11" s="470"/>
      <c r="CA11" s="470"/>
      <c r="CB11" s="470"/>
      <c r="CC11" s="470"/>
      <c r="CD11" s="470"/>
      <c r="CE11" s="501"/>
      <c r="CF11" s="501"/>
      <c r="CG11" s="501"/>
      <c r="CH11" s="501"/>
      <c r="CI11" s="501"/>
      <c r="CJ11" s="501"/>
      <c r="CK11" s="501"/>
      <c r="CL11" s="501"/>
      <c r="CM11" s="501"/>
      <c r="CN11" s="501"/>
      <c r="CO11" s="501"/>
      <c r="CP11" s="501"/>
      <c r="CQ11" s="504"/>
      <c r="CR11" s="504"/>
      <c r="CS11" s="504"/>
      <c r="CT11" s="504"/>
      <c r="CU11" s="504"/>
      <c r="CV11" s="504"/>
      <c r="CW11" s="504"/>
      <c r="CX11" s="504"/>
      <c r="CY11" s="504"/>
      <c r="CZ11" s="504"/>
      <c r="DA11" s="504"/>
      <c r="DB11" s="504"/>
      <c r="DC11" s="504"/>
      <c r="DD11" s="504"/>
      <c r="DE11" s="504"/>
      <c r="DF11" s="504"/>
      <c r="DG11" s="504"/>
      <c r="DH11" s="504"/>
      <c r="DI11" s="504"/>
      <c r="DJ11" s="504"/>
      <c r="DK11" s="504"/>
      <c r="DL11" s="504"/>
      <c r="DM11" s="504"/>
      <c r="DN11" s="504"/>
      <c r="DO11" s="504"/>
      <c r="DP11" s="504"/>
      <c r="DQ11" s="504"/>
      <c r="DR11" s="504"/>
      <c r="DS11" s="504"/>
      <c r="DT11" s="505"/>
    </row>
    <row r="12" spans="1:124" ht="21" customHeight="1">
      <c r="A12" s="503"/>
      <c r="B12" s="504"/>
      <c r="C12" s="504"/>
      <c r="D12" s="504"/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499"/>
      <c r="AK12" s="499"/>
      <c r="AL12" s="499"/>
      <c r="AM12" s="499"/>
      <c r="AN12" s="499"/>
      <c r="AO12" s="504"/>
      <c r="AP12" s="504"/>
      <c r="AQ12" s="504"/>
      <c r="AR12" s="504"/>
      <c r="AS12" s="504"/>
      <c r="AT12" s="504"/>
      <c r="AU12" s="504"/>
      <c r="AV12" s="504"/>
      <c r="AW12" s="504"/>
      <c r="AX12" s="504"/>
      <c r="AY12" s="504"/>
      <c r="AZ12" s="504"/>
      <c r="BA12" s="504"/>
      <c r="BB12" s="504"/>
      <c r="BC12" s="504"/>
      <c r="BD12" s="504"/>
      <c r="BE12" s="504"/>
      <c r="BF12" s="504"/>
      <c r="BG12" s="504"/>
      <c r="BH12" s="504"/>
      <c r="BI12" s="504"/>
      <c r="BJ12" s="504"/>
      <c r="BK12" s="504"/>
      <c r="BL12" s="504"/>
      <c r="BM12" s="504"/>
      <c r="BN12" s="504"/>
      <c r="BO12" s="504"/>
      <c r="BP12" s="504"/>
      <c r="BQ12" s="504"/>
      <c r="BR12" s="504"/>
      <c r="BS12" s="504"/>
      <c r="BT12" s="504"/>
      <c r="BU12" s="504"/>
      <c r="BV12" s="504"/>
      <c r="BW12" s="504"/>
      <c r="BX12" s="504"/>
      <c r="BY12" s="470"/>
      <c r="BZ12" s="470"/>
      <c r="CA12" s="470"/>
      <c r="CB12" s="470"/>
      <c r="CC12" s="470"/>
      <c r="CD12" s="470"/>
      <c r="CE12" s="501"/>
      <c r="CF12" s="501"/>
      <c r="CG12" s="501"/>
      <c r="CH12" s="501"/>
      <c r="CI12" s="501"/>
      <c r="CJ12" s="501"/>
      <c r="CK12" s="501"/>
      <c r="CL12" s="501"/>
      <c r="CM12" s="501"/>
      <c r="CN12" s="501"/>
      <c r="CO12" s="501"/>
      <c r="CP12" s="501"/>
      <c r="CQ12" s="504"/>
      <c r="CR12" s="504"/>
      <c r="CS12" s="504"/>
      <c r="CT12" s="504"/>
      <c r="CU12" s="504"/>
      <c r="CV12" s="504"/>
      <c r="CW12" s="504"/>
      <c r="CX12" s="504"/>
      <c r="CY12" s="504"/>
      <c r="CZ12" s="504"/>
      <c r="DA12" s="504"/>
      <c r="DB12" s="504"/>
      <c r="DC12" s="504"/>
      <c r="DD12" s="504"/>
      <c r="DE12" s="504"/>
      <c r="DF12" s="504"/>
      <c r="DG12" s="504"/>
      <c r="DH12" s="504"/>
      <c r="DI12" s="504"/>
      <c r="DJ12" s="504"/>
      <c r="DK12" s="504"/>
      <c r="DL12" s="504"/>
      <c r="DM12" s="504"/>
      <c r="DN12" s="504"/>
      <c r="DO12" s="504"/>
      <c r="DP12" s="504"/>
      <c r="DQ12" s="504"/>
      <c r="DR12" s="504"/>
      <c r="DS12" s="504"/>
      <c r="DT12" s="505"/>
    </row>
    <row r="13" spans="1:124" ht="21" customHeight="1">
      <c r="A13" s="503"/>
      <c r="B13" s="504"/>
      <c r="C13" s="504"/>
      <c r="D13" s="504"/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4"/>
      <c r="AA13" s="504"/>
      <c r="AB13" s="504"/>
      <c r="AC13" s="504"/>
      <c r="AD13" s="504"/>
      <c r="AE13" s="504"/>
      <c r="AF13" s="504"/>
      <c r="AG13" s="504"/>
      <c r="AH13" s="504"/>
      <c r="AI13" s="504"/>
      <c r="AJ13" s="499"/>
      <c r="AK13" s="499"/>
      <c r="AL13" s="499"/>
      <c r="AM13" s="499"/>
      <c r="AN13" s="499"/>
      <c r="AO13" s="504"/>
      <c r="AP13" s="504"/>
      <c r="AQ13" s="504"/>
      <c r="AR13" s="504"/>
      <c r="AS13" s="504"/>
      <c r="AT13" s="504"/>
      <c r="AU13" s="504"/>
      <c r="AV13" s="504"/>
      <c r="AW13" s="504"/>
      <c r="AX13" s="504"/>
      <c r="AY13" s="504"/>
      <c r="AZ13" s="504"/>
      <c r="BA13" s="504"/>
      <c r="BB13" s="504"/>
      <c r="BC13" s="504"/>
      <c r="BD13" s="504"/>
      <c r="BE13" s="504"/>
      <c r="BF13" s="504"/>
      <c r="BG13" s="504"/>
      <c r="BH13" s="504"/>
      <c r="BI13" s="504"/>
      <c r="BJ13" s="504"/>
      <c r="BK13" s="504"/>
      <c r="BL13" s="504"/>
      <c r="BM13" s="504"/>
      <c r="BN13" s="504"/>
      <c r="BO13" s="504"/>
      <c r="BP13" s="504"/>
      <c r="BQ13" s="504"/>
      <c r="BR13" s="504"/>
      <c r="BS13" s="504"/>
      <c r="BT13" s="504"/>
      <c r="BU13" s="504"/>
      <c r="BV13" s="504"/>
      <c r="BW13" s="504"/>
      <c r="BX13" s="504"/>
      <c r="BY13" s="470"/>
      <c r="BZ13" s="470"/>
      <c r="CA13" s="470"/>
      <c r="CB13" s="470"/>
      <c r="CC13" s="470"/>
      <c r="CD13" s="470"/>
      <c r="CE13" s="501"/>
      <c r="CF13" s="501"/>
      <c r="CG13" s="501"/>
      <c r="CH13" s="501"/>
      <c r="CI13" s="501"/>
      <c r="CJ13" s="501"/>
      <c r="CK13" s="501"/>
      <c r="CL13" s="501"/>
      <c r="CM13" s="501"/>
      <c r="CN13" s="501"/>
      <c r="CO13" s="501"/>
      <c r="CP13" s="501"/>
      <c r="CQ13" s="504"/>
      <c r="CR13" s="504"/>
      <c r="CS13" s="504"/>
      <c r="CT13" s="504"/>
      <c r="CU13" s="504"/>
      <c r="CV13" s="504"/>
      <c r="CW13" s="504"/>
      <c r="CX13" s="504"/>
      <c r="CY13" s="504"/>
      <c r="CZ13" s="504"/>
      <c r="DA13" s="504"/>
      <c r="DB13" s="504"/>
      <c r="DC13" s="504"/>
      <c r="DD13" s="504"/>
      <c r="DE13" s="504"/>
      <c r="DF13" s="504"/>
      <c r="DG13" s="504"/>
      <c r="DH13" s="504"/>
      <c r="DI13" s="504"/>
      <c r="DJ13" s="504"/>
      <c r="DK13" s="504"/>
      <c r="DL13" s="504"/>
      <c r="DM13" s="504"/>
      <c r="DN13" s="504"/>
      <c r="DO13" s="504"/>
      <c r="DP13" s="504"/>
      <c r="DQ13" s="504"/>
      <c r="DR13" s="504"/>
      <c r="DS13" s="504"/>
      <c r="DT13" s="505"/>
    </row>
    <row r="14" spans="1:124" ht="21" customHeight="1">
      <c r="A14" s="503"/>
      <c r="B14" s="504"/>
      <c r="C14" s="504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4"/>
      <c r="T14" s="504"/>
      <c r="U14" s="504"/>
      <c r="V14" s="504"/>
      <c r="W14" s="504"/>
      <c r="X14" s="504"/>
      <c r="Y14" s="504"/>
      <c r="Z14" s="504"/>
      <c r="AA14" s="504"/>
      <c r="AB14" s="504"/>
      <c r="AC14" s="504"/>
      <c r="AD14" s="504"/>
      <c r="AE14" s="504"/>
      <c r="AF14" s="504"/>
      <c r="AG14" s="504"/>
      <c r="AH14" s="504"/>
      <c r="AI14" s="504"/>
      <c r="AJ14" s="499"/>
      <c r="AK14" s="499"/>
      <c r="AL14" s="499"/>
      <c r="AM14" s="499"/>
      <c r="AN14" s="499"/>
      <c r="AO14" s="504"/>
      <c r="AP14" s="504"/>
      <c r="AQ14" s="504"/>
      <c r="AR14" s="504"/>
      <c r="AS14" s="504"/>
      <c r="AT14" s="504"/>
      <c r="AU14" s="504"/>
      <c r="AV14" s="504"/>
      <c r="AW14" s="504"/>
      <c r="AX14" s="504"/>
      <c r="AY14" s="504"/>
      <c r="AZ14" s="504"/>
      <c r="BA14" s="504"/>
      <c r="BB14" s="504"/>
      <c r="BC14" s="504"/>
      <c r="BD14" s="504"/>
      <c r="BE14" s="504"/>
      <c r="BF14" s="504"/>
      <c r="BG14" s="504"/>
      <c r="BH14" s="504"/>
      <c r="BI14" s="504"/>
      <c r="BJ14" s="504"/>
      <c r="BK14" s="504"/>
      <c r="BL14" s="504"/>
      <c r="BM14" s="504"/>
      <c r="BN14" s="504"/>
      <c r="BO14" s="504"/>
      <c r="BP14" s="504"/>
      <c r="BQ14" s="504"/>
      <c r="BR14" s="504"/>
      <c r="BS14" s="504"/>
      <c r="BT14" s="504"/>
      <c r="BU14" s="504"/>
      <c r="BV14" s="504"/>
      <c r="BW14" s="504"/>
      <c r="BX14" s="504"/>
      <c r="BY14" s="470"/>
      <c r="BZ14" s="470"/>
      <c r="CA14" s="470"/>
      <c r="CB14" s="470"/>
      <c r="CC14" s="470"/>
      <c r="CD14" s="470"/>
      <c r="CE14" s="501"/>
      <c r="CF14" s="501"/>
      <c r="CG14" s="501"/>
      <c r="CH14" s="501"/>
      <c r="CI14" s="501"/>
      <c r="CJ14" s="501"/>
      <c r="CK14" s="501"/>
      <c r="CL14" s="501"/>
      <c r="CM14" s="501"/>
      <c r="CN14" s="501"/>
      <c r="CO14" s="501"/>
      <c r="CP14" s="501"/>
      <c r="CQ14" s="504"/>
      <c r="CR14" s="504"/>
      <c r="CS14" s="504"/>
      <c r="CT14" s="504"/>
      <c r="CU14" s="504"/>
      <c r="CV14" s="504"/>
      <c r="CW14" s="504"/>
      <c r="CX14" s="504"/>
      <c r="CY14" s="504"/>
      <c r="CZ14" s="504"/>
      <c r="DA14" s="504"/>
      <c r="DB14" s="504"/>
      <c r="DC14" s="504"/>
      <c r="DD14" s="504"/>
      <c r="DE14" s="504"/>
      <c r="DF14" s="504"/>
      <c r="DG14" s="504"/>
      <c r="DH14" s="504"/>
      <c r="DI14" s="504"/>
      <c r="DJ14" s="504"/>
      <c r="DK14" s="504"/>
      <c r="DL14" s="504"/>
      <c r="DM14" s="504"/>
      <c r="DN14" s="504"/>
      <c r="DO14" s="504"/>
      <c r="DP14" s="504"/>
      <c r="DQ14" s="504"/>
      <c r="DR14" s="504"/>
      <c r="DS14" s="504"/>
      <c r="DT14" s="505"/>
    </row>
    <row r="15" spans="1:124" ht="21" customHeight="1">
      <c r="A15" s="503"/>
      <c r="B15" s="504"/>
      <c r="C15" s="504"/>
      <c r="D15" s="504"/>
      <c r="E15" s="504"/>
      <c r="F15" s="504"/>
      <c r="G15" s="504"/>
      <c r="H15" s="504"/>
      <c r="I15" s="504"/>
      <c r="J15" s="504"/>
      <c r="K15" s="504"/>
      <c r="L15" s="504"/>
      <c r="M15" s="504"/>
      <c r="N15" s="504"/>
      <c r="O15" s="504"/>
      <c r="P15" s="504"/>
      <c r="Q15" s="504"/>
      <c r="R15" s="504"/>
      <c r="S15" s="504"/>
      <c r="T15" s="504"/>
      <c r="U15" s="504"/>
      <c r="V15" s="504"/>
      <c r="W15" s="504"/>
      <c r="X15" s="504"/>
      <c r="Y15" s="504"/>
      <c r="Z15" s="504"/>
      <c r="AA15" s="504"/>
      <c r="AB15" s="504"/>
      <c r="AC15" s="504"/>
      <c r="AD15" s="504"/>
      <c r="AE15" s="504"/>
      <c r="AF15" s="504"/>
      <c r="AG15" s="504"/>
      <c r="AH15" s="504"/>
      <c r="AI15" s="504"/>
      <c r="AJ15" s="499"/>
      <c r="AK15" s="499"/>
      <c r="AL15" s="499"/>
      <c r="AM15" s="499"/>
      <c r="AN15" s="499"/>
      <c r="AO15" s="504"/>
      <c r="AP15" s="504"/>
      <c r="AQ15" s="504"/>
      <c r="AR15" s="504"/>
      <c r="AS15" s="504"/>
      <c r="AT15" s="504"/>
      <c r="AU15" s="504"/>
      <c r="AV15" s="504"/>
      <c r="AW15" s="504"/>
      <c r="AX15" s="504"/>
      <c r="AY15" s="504"/>
      <c r="AZ15" s="504"/>
      <c r="BA15" s="504"/>
      <c r="BB15" s="504"/>
      <c r="BC15" s="504"/>
      <c r="BD15" s="504"/>
      <c r="BE15" s="504"/>
      <c r="BF15" s="504"/>
      <c r="BG15" s="504"/>
      <c r="BH15" s="504"/>
      <c r="BI15" s="504"/>
      <c r="BJ15" s="504"/>
      <c r="BK15" s="504"/>
      <c r="BL15" s="504"/>
      <c r="BM15" s="504"/>
      <c r="BN15" s="504"/>
      <c r="BO15" s="504"/>
      <c r="BP15" s="504"/>
      <c r="BQ15" s="504"/>
      <c r="BR15" s="504"/>
      <c r="BS15" s="504"/>
      <c r="BT15" s="504"/>
      <c r="BU15" s="504"/>
      <c r="BV15" s="504"/>
      <c r="BW15" s="504"/>
      <c r="BX15" s="504"/>
      <c r="BY15" s="470"/>
      <c r="BZ15" s="470"/>
      <c r="CA15" s="470"/>
      <c r="CB15" s="470"/>
      <c r="CC15" s="470"/>
      <c r="CD15" s="470"/>
      <c r="CE15" s="501"/>
      <c r="CF15" s="501"/>
      <c r="CG15" s="501"/>
      <c r="CH15" s="501"/>
      <c r="CI15" s="501"/>
      <c r="CJ15" s="501"/>
      <c r="CK15" s="501"/>
      <c r="CL15" s="501"/>
      <c r="CM15" s="501"/>
      <c r="CN15" s="501"/>
      <c r="CO15" s="501"/>
      <c r="CP15" s="501"/>
      <c r="CQ15" s="504"/>
      <c r="CR15" s="504"/>
      <c r="CS15" s="504"/>
      <c r="CT15" s="504"/>
      <c r="CU15" s="504"/>
      <c r="CV15" s="504"/>
      <c r="CW15" s="504"/>
      <c r="CX15" s="504"/>
      <c r="CY15" s="504"/>
      <c r="CZ15" s="504"/>
      <c r="DA15" s="504"/>
      <c r="DB15" s="504"/>
      <c r="DC15" s="504"/>
      <c r="DD15" s="504"/>
      <c r="DE15" s="504"/>
      <c r="DF15" s="504"/>
      <c r="DG15" s="504"/>
      <c r="DH15" s="504"/>
      <c r="DI15" s="504"/>
      <c r="DJ15" s="504"/>
      <c r="DK15" s="504"/>
      <c r="DL15" s="504"/>
      <c r="DM15" s="504"/>
      <c r="DN15" s="504"/>
      <c r="DO15" s="504"/>
      <c r="DP15" s="504"/>
      <c r="DQ15" s="504"/>
      <c r="DR15" s="504"/>
      <c r="DS15" s="504"/>
      <c r="DT15" s="505"/>
    </row>
    <row r="16" spans="1:124" ht="21" customHeight="1">
      <c r="A16" s="503"/>
      <c r="B16" s="504"/>
      <c r="C16" s="504"/>
      <c r="D16" s="504"/>
      <c r="E16" s="504"/>
      <c r="F16" s="504"/>
      <c r="G16" s="504"/>
      <c r="H16" s="504"/>
      <c r="I16" s="504"/>
      <c r="J16" s="504"/>
      <c r="K16" s="504"/>
      <c r="L16" s="504"/>
      <c r="M16" s="504"/>
      <c r="N16" s="504"/>
      <c r="O16" s="504"/>
      <c r="P16" s="504"/>
      <c r="Q16" s="504"/>
      <c r="R16" s="504"/>
      <c r="S16" s="504"/>
      <c r="T16" s="504"/>
      <c r="U16" s="504"/>
      <c r="V16" s="504"/>
      <c r="W16" s="504"/>
      <c r="X16" s="504"/>
      <c r="Y16" s="504"/>
      <c r="Z16" s="504"/>
      <c r="AA16" s="504"/>
      <c r="AB16" s="504"/>
      <c r="AC16" s="504"/>
      <c r="AD16" s="504"/>
      <c r="AE16" s="504"/>
      <c r="AF16" s="504"/>
      <c r="AG16" s="504"/>
      <c r="AH16" s="504"/>
      <c r="AI16" s="504"/>
      <c r="AJ16" s="499"/>
      <c r="AK16" s="499"/>
      <c r="AL16" s="499"/>
      <c r="AM16" s="499"/>
      <c r="AN16" s="499"/>
      <c r="AO16" s="504"/>
      <c r="AP16" s="504"/>
      <c r="AQ16" s="504"/>
      <c r="AR16" s="504"/>
      <c r="AS16" s="504"/>
      <c r="AT16" s="504"/>
      <c r="AU16" s="504"/>
      <c r="AV16" s="504"/>
      <c r="AW16" s="504"/>
      <c r="AX16" s="504"/>
      <c r="AY16" s="504"/>
      <c r="AZ16" s="504"/>
      <c r="BA16" s="504"/>
      <c r="BB16" s="504"/>
      <c r="BC16" s="504"/>
      <c r="BD16" s="504"/>
      <c r="BE16" s="504"/>
      <c r="BF16" s="504"/>
      <c r="BG16" s="504"/>
      <c r="BH16" s="504"/>
      <c r="BI16" s="504"/>
      <c r="BJ16" s="504"/>
      <c r="BK16" s="504"/>
      <c r="BL16" s="504"/>
      <c r="BM16" s="504"/>
      <c r="BN16" s="504"/>
      <c r="BO16" s="504"/>
      <c r="BP16" s="504"/>
      <c r="BQ16" s="504"/>
      <c r="BR16" s="504"/>
      <c r="BS16" s="504"/>
      <c r="BT16" s="504"/>
      <c r="BU16" s="504"/>
      <c r="BV16" s="504"/>
      <c r="BW16" s="504"/>
      <c r="BX16" s="504"/>
      <c r="BY16" s="470"/>
      <c r="BZ16" s="470"/>
      <c r="CA16" s="470"/>
      <c r="CB16" s="470"/>
      <c r="CC16" s="470"/>
      <c r="CD16" s="470"/>
      <c r="CE16" s="501"/>
      <c r="CF16" s="501"/>
      <c r="CG16" s="501"/>
      <c r="CH16" s="501"/>
      <c r="CI16" s="501"/>
      <c r="CJ16" s="501"/>
      <c r="CK16" s="501"/>
      <c r="CL16" s="501"/>
      <c r="CM16" s="501"/>
      <c r="CN16" s="501"/>
      <c r="CO16" s="501"/>
      <c r="CP16" s="501"/>
      <c r="CQ16" s="504"/>
      <c r="CR16" s="504"/>
      <c r="CS16" s="504"/>
      <c r="CT16" s="504"/>
      <c r="CU16" s="504"/>
      <c r="CV16" s="504"/>
      <c r="CW16" s="504"/>
      <c r="CX16" s="504"/>
      <c r="CY16" s="504"/>
      <c r="CZ16" s="504"/>
      <c r="DA16" s="504"/>
      <c r="DB16" s="504"/>
      <c r="DC16" s="504"/>
      <c r="DD16" s="504"/>
      <c r="DE16" s="504"/>
      <c r="DF16" s="504"/>
      <c r="DG16" s="504"/>
      <c r="DH16" s="504"/>
      <c r="DI16" s="504"/>
      <c r="DJ16" s="504"/>
      <c r="DK16" s="504"/>
      <c r="DL16" s="504"/>
      <c r="DM16" s="504"/>
      <c r="DN16" s="504"/>
      <c r="DO16" s="504"/>
      <c r="DP16" s="504"/>
      <c r="DQ16" s="504"/>
      <c r="DR16" s="504"/>
      <c r="DS16" s="504"/>
      <c r="DT16" s="505"/>
    </row>
    <row r="17" spans="1:124" ht="21" customHeight="1">
      <c r="A17" s="503"/>
      <c r="B17" s="504"/>
      <c r="C17" s="504"/>
      <c r="D17" s="504"/>
      <c r="E17" s="504"/>
      <c r="F17" s="504"/>
      <c r="G17" s="504"/>
      <c r="H17" s="504"/>
      <c r="I17" s="504"/>
      <c r="J17" s="504"/>
      <c r="K17" s="504"/>
      <c r="L17" s="504"/>
      <c r="M17" s="504"/>
      <c r="N17" s="504"/>
      <c r="O17" s="504"/>
      <c r="P17" s="504"/>
      <c r="Q17" s="504"/>
      <c r="R17" s="504"/>
      <c r="S17" s="504"/>
      <c r="T17" s="504"/>
      <c r="U17" s="504"/>
      <c r="V17" s="504"/>
      <c r="W17" s="504"/>
      <c r="X17" s="504"/>
      <c r="Y17" s="504"/>
      <c r="Z17" s="504"/>
      <c r="AA17" s="504"/>
      <c r="AB17" s="504"/>
      <c r="AC17" s="504"/>
      <c r="AD17" s="504"/>
      <c r="AE17" s="504"/>
      <c r="AF17" s="504"/>
      <c r="AG17" s="504"/>
      <c r="AH17" s="504"/>
      <c r="AI17" s="504"/>
      <c r="AJ17" s="499"/>
      <c r="AK17" s="499"/>
      <c r="AL17" s="499"/>
      <c r="AM17" s="499"/>
      <c r="AN17" s="499"/>
      <c r="AO17" s="504"/>
      <c r="AP17" s="504"/>
      <c r="AQ17" s="504"/>
      <c r="AR17" s="504"/>
      <c r="AS17" s="504"/>
      <c r="AT17" s="504"/>
      <c r="AU17" s="504"/>
      <c r="AV17" s="504"/>
      <c r="AW17" s="504"/>
      <c r="AX17" s="504"/>
      <c r="AY17" s="504"/>
      <c r="AZ17" s="504"/>
      <c r="BA17" s="504"/>
      <c r="BB17" s="504"/>
      <c r="BC17" s="504"/>
      <c r="BD17" s="504"/>
      <c r="BE17" s="504"/>
      <c r="BF17" s="504"/>
      <c r="BG17" s="504"/>
      <c r="BH17" s="504"/>
      <c r="BI17" s="504"/>
      <c r="BJ17" s="504"/>
      <c r="BK17" s="504"/>
      <c r="BL17" s="504"/>
      <c r="BM17" s="504"/>
      <c r="BN17" s="504"/>
      <c r="BO17" s="504"/>
      <c r="BP17" s="504"/>
      <c r="BQ17" s="504"/>
      <c r="BR17" s="504"/>
      <c r="BS17" s="504"/>
      <c r="BT17" s="504"/>
      <c r="BU17" s="504"/>
      <c r="BV17" s="504"/>
      <c r="BW17" s="504"/>
      <c r="BX17" s="504"/>
      <c r="BY17" s="470"/>
      <c r="BZ17" s="470"/>
      <c r="CA17" s="470"/>
      <c r="CB17" s="470"/>
      <c r="CC17" s="470"/>
      <c r="CD17" s="470"/>
      <c r="CE17" s="501"/>
      <c r="CF17" s="501"/>
      <c r="CG17" s="501"/>
      <c r="CH17" s="501"/>
      <c r="CI17" s="501"/>
      <c r="CJ17" s="501"/>
      <c r="CK17" s="501"/>
      <c r="CL17" s="501"/>
      <c r="CM17" s="501"/>
      <c r="CN17" s="501"/>
      <c r="CO17" s="501"/>
      <c r="CP17" s="501"/>
      <c r="CQ17" s="504"/>
      <c r="CR17" s="504"/>
      <c r="CS17" s="504"/>
      <c r="CT17" s="504"/>
      <c r="CU17" s="504"/>
      <c r="CV17" s="504"/>
      <c r="CW17" s="504"/>
      <c r="CX17" s="504"/>
      <c r="CY17" s="504"/>
      <c r="CZ17" s="504"/>
      <c r="DA17" s="504"/>
      <c r="DB17" s="504"/>
      <c r="DC17" s="504"/>
      <c r="DD17" s="504"/>
      <c r="DE17" s="504"/>
      <c r="DF17" s="504"/>
      <c r="DG17" s="504"/>
      <c r="DH17" s="504"/>
      <c r="DI17" s="504"/>
      <c r="DJ17" s="504"/>
      <c r="DK17" s="504"/>
      <c r="DL17" s="504"/>
      <c r="DM17" s="504"/>
      <c r="DN17" s="504"/>
      <c r="DO17" s="504"/>
      <c r="DP17" s="504"/>
      <c r="DQ17" s="504"/>
      <c r="DR17" s="504"/>
      <c r="DS17" s="504"/>
      <c r="DT17" s="505"/>
    </row>
    <row r="18" spans="1:124" ht="21" customHeight="1">
      <c r="A18" s="503"/>
      <c r="B18" s="504"/>
      <c r="C18" s="504"/>
      <c r="D18" s="504"/>
      <c r="E18" s="504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04"/>
      <c r="V18" s="504"/>
      <c r="W18" s="504"/>
      <c r="X18" s="504"/>
      <c r="Y18" s="504"/>
      <c r="Z18" s="504"/>
      <c r="AA18" s="504"/>
      <c r="AB18" s="504"/>
      <c r="AC18" s="504"/>
      <c r="AD18" s="504"/>
      <c r="AE18" s="504"/>
      <c r="AF18" s="504"/>
      <c r="AG18" s="504"/>
      <c r="AH18" s="504"/>
      <c r="AI18" s="504"/>
      <c r="AJ18" s="499"/>
      <c r="AK18" s="499"/>
      <c r="AL18" s="499"/>
      <c r="AM18" s="499"/>
      <c r="AN18" s="499"/>
      <c r="AO18" s="504"/>
      <c r="AP18" s="504"/>
      <c r="AQ18" s="504"/>
      <c r="AR18" s="504"/>
      <c r="AS18" s="504"/>
      <c r="AT18" s="504"/>
      <c r="AU18" s="504"/>
      <c r="AV18" s="504"/>
      <c r="AW18" s="504"/>
      <c r="AX18" s="504"/>
      <c r="AY18" s="504"/>
      <c r="AZ18" s="504"/>
      <c r="BA18" s="504"/>
      <c r="BB18" s="504"/>
      <c r="BC18" s="504"/>
      <c r="BD18" s="504"/>
      <c r="BE18" s="504"/>
      <c r="BF18" s="504"/>
      <c r="BG18" s="504"/>
      <c r="BH18" s="504"/>
      <c r="BI18" s="504"/>
      <c r="BJ18" s="504"/>
      <c r="BK18" s="504"/>
      <c r="BL18" s="504"/>
      <c r="BM18" s="504"/>
      <c r="BN18" s="504"/>
      <c r="BO18" s="504"/>
      <c r="BP18" s="504"/>
      <c r="BQ18" s="504"/>
      <c r="BR18" s="504"/>
      <c r="BS18" s="504"/>
      <c r="BT18" s="504"/>
      <c r="BU18" s="504"/>
      <c r="BV18" s="504"/>
      <c r="BW18" s="504"/>
      <c r="BX18" s="504"/>
      <c r="BY18" s="470"/>
      <c r="BZ18" s="470"/>
      <c r="CA18" s="470"/>
      <c r="CB18" s="470"/>
      <c r="CC18" s="470"/>
      <c r="CD18" s="470"/>
      <c r="CE18" s="501"/>
      <c r="CF18" s="501"/>
      <c r="CG18" s="501"/>
      <c r="CH18" s="501"/>
      <c r="CI18" s="501"/>
      <c r="CJ18" s="501"/>
      <c r="CK18" s="501"/>
      <c r="CL18" s="501"/>
      <c r="CM18" s="501"/>
      <c r="CN18" s="501"/>
      <c r="CO18" s="501"/>
      <c r="CP18" s="501"/>
      <c r="CQ18" s="504"/>
      <c r="CR18" s="504"/>
      <c r="CS18" s="504"/>
      <c r="CT18" s="504"/>
      <c r="CU18" s="504"/>
      <c r="CV18" s="504"/>
      <c r="CW18" s="504"/>
      <c r="CX18" s="504"/>
      <c r="CY18" s="504"/>
      <c r="CZ18" s="504"/>
      <c r="DA18" s="504"/>
      <c r="DB18" s="504"/>
      <c r="DC18" s="504"/>
      <c r="DD18" s="504"/>
      <c r="DE18" s="504"/>
      <c r="DF18" s="504"/>
      <c r="DG18" s="504"/>
      <c r="DH18" s="504"/>
      <c r="DI18" s="504"/>
      <c r="DJ18" s="504"/>
      <c r="DK18" s="504"/>
      <c r="DL18" s="504"/>
      <c r="DM18" s="504"/>
      <c r="DN18" s="504"/>
      <c r="DO18" s="504"/>
      <c r="DP18" s="504"/>
      <c r="DQ18" s="504"/>
      <c r="DR18" s="504"/>
      <c r="DS18" s="504"/>
      <c r="DT18" s="505"/>
    </row>
    <row r="19" spans="1:124" ht="21" customHeight="1">
      <c r="A19" s="503"/>
      <c r="B19" s="504"/>
      <c r="C19" s="504"/>
      <c r="D19" s="504"/>
      <c r="E19" s="504"/>
      <c r="F19" s="504"/>
      <c r="G19" s="504"/>
      <c r="H19" s="504"/>
      <c r="I19" s="504"/>
      <c r="J19" s="504"/>
      <c r="K19" s="504"/>
      <c r="L19" s="504"/>
      <c r="M19" s="504"/>
      <c r="N19" s="504"/>
      <c r="O19" s="504"/>
      <c r="P19" s="504"/>
      <c r="Q19" s="504"/>
      <c r="R19" s="504"/>
      <c r="S19" s="504"/>
      <c r="T19" s="504"/>
      <c r="U19" s="504"/>
      <c r="V19" s="504"/>
      <c r="W19" s="504"/>
      <c r="X19" s="504"/>
      <c r="Y19" s="504"/>
      <c r="Z19" s="504"/>
      <c r="AA19" s="504"/>
      <c r="AB19" s="504"/>
      <c r="AC19" s="504"/>
      <c r="AD19" s="504"/>
      <c r="AE19" s="504"/>
      <c r="AF19" s="504"/>
      <c r="AG19" s="504"/>
      <c r="AH19" s="504"/>
      <c r="AI19" s="504"/>
      <c r="AJ19" s="499"/>
      <c r="AK19" s="499"/>
      <c r="AL19" s="499"/>
      <c r="AM19" s="499"/>
      <c r="AN19" s="499"/>
      <c r="AO19" s="504"/>
      <c r="AP19" s="504"/>
      <c r="AQ19" s="504"/>
      <c r="AR19" s="504"/>
      <c r="AS19" s="504"/>
      <c r="AT19" s="504"/>
      <c r="AU19" s="504"/>
      <c r="AV19" s="504"/>
      <c r="AW19" s="504"/>
      <c r="AX19" s="504"/>
      <c r="AY19" s="504"/>
      <c r="AZ19" s="504"/>
      <c r="BA19" s="504"/>
      <c r="BB19" s="504"/>
      <c r="BC19" s="504"/>
      <c r="BD19" s="504"/>
      <c r="BE19" s="504"/>
      <c r="BF19" s="504"/>
      <c r="BG19" s="504"/>
      <c r="BH19" s="504"/>
      <c r="BI19" s="504"/>
      <c r="BJ19" s="504"/>
      <c r="BK19" s="504"/>
      <c r="BL19" s="504"/>
      <c r="BM19" s="504"/>
      <c r="BN19" s="504"/>
      <c r="BO19" s="504"/>
      <c r="BP19" s="504"/>
      <c r="BQ19" s="504"/>
      <c r="BR19" s="504"/>
      <c r="BS19" s="504"/>
      <c r="BT19" s="504"/>
      <c r="BU19" s="504"/>
      <c r="BV19" s="504"/>
      <c r="BW19" s="504"/>
      <c r="BX19" s="504"/>
      <c r="BY19" s="470"/>
      <c r="BZ19" s="470"/>
      <c r="CA19" s="470"/>
      <c r="CB19" s="470"/>
      <c r="CC19" s="470"/>
      <c r="CD19" s="470"/>
      <c r="CE19" s="501"/>
      <c r="CF19" s="501"/>
      <c r="CG19" s="501"/>
      <c r="CH19" s="501"/>
      <c r="CI19" s="501"/>
      <c r="CJ19" s="501"/>
      <c r="CK19" s="501"/>
      <c r="CL19" s="501"/>
      <c r="CM19" s="501"/>
      <c r="CN19" s="501"/>
      <c r="CO19" s="501"/>
      <c r="CP19" s="501"/>
      <c r="CQ19" s="504"/>
      <c r="CR19" s="504"/>
      <c r="CS19" s="504"/>
      <c r="CT19" s="504"/>
      <c r="CU19" s="504"/>
      <c r="CV19" s="504"/>
      <c r="CW19" s="504"/>
      <c r="CX19" s="504"/>
      <c r="CY19" s="504"/>
      <c r="CZ19" s="504"/>
      <c r="DA19" s="504"/>
      <c r="DB19" s="504"/>
      <c r="DC19" s="504"/>
      <c r="DD19" s="504"/>
      <c r="DE19" s="504"/>
      <c r="DF19" s="504"/>
      <c r="DG19" s="504"/>
      <c r="DH19" s="504"/>
      <c r="DI19" s="504"/>
      <c r="DJ19" s="504"/>
      <c r="DK19" s="504"/>
      <c r="DL19" s="504"/>
      <c r="DM19" s="504"/>
      <c r="DN19" s="504"/>
      <c r="DO19" s="504"/>
      <c r="DP19" s="504"/>
      <c r="DQ19" s="504"/>
      <c r="DR19" s="504"/>
      <c r="DS19" s="504"/>
      <c r="DT19" s="505"/>
    </row>
    <row r="20" spans="1:124" ht="21" customHeight="1">
      <c r="A20" s="503"/>
      <c r="B20" s="504"/>
      <c r="C20" s="504"/>
      <c r="D20" s="504"/>
      <c r="E20" s="504"/>
      <c r="F20" s="504"/>
      <c r="G20" s="504"/>
      <c r="H20" s="504"/>
      <c r="I20" s="504"/>
      <c r="J20" s="504"/>
      <c r="K20" s="504"/>
      <c r="L20" s="504"/>
      <c r="M20" s="504"/>
      <c r="N20" s="504"/>
      <c r="O20" s="504"/>
      <c r="P20" s="504"/>
      <c r="Q20" s="504"/>
      <c r="R20" s="504"/>
      <c r="S20" s="504"/>
      <c r="T20" s="504"/>
      <c r="U20" s="504"/>
      <c r="V20" s="504"/>
      <c r="W20" s="504"/>
      <c r="X20" s="504"/>
      <c r="Y20" s="504"/>
      <c r="Z20" s="504"/>
      <c r="AA20" s="504"/>
      <c r="AB20" s="504"/>
      <c r="AC20" s="504"/>
      <c r="AD20" s="504"/>
      <c r="AE20" s="504"/>
      <c r="AF20" s="504"/>
      <c r="AG20" s="504"/>
      <c r="AH20" s="504"/>
      <c r="AI20" s="504"/>
      <c r="AJ20" s="499"/>
      <c r="AK20" s="499"/>
      <c r="AL20" s="499"/>
      <c r="AM20" s="499"/>
      <c r="AN20" s="499"/>
      <c r="AO20" s="504"/>
      <c r="AP20" s="504"/>
      <c r="AQ20" s="504"/>
      <c r="AR20" s="504"/>
      <c r="AS20" s="504"/>
      <c r="AT20" s="504"/>
      <c r="AU20" s="504"/>
      <c r="AV20" s="504"/>
      <c r="AW20" s="504"/>
      <c r="AX20" s="504"/>
      <c r="AY20" s="504"/>
      <c r="AZ20" s="504"/>
      <c r="BA20" s="504"/>
      <c r="BB20" s="504"/>
      <c r="BC20" s="504"/>
      <c r="BD20" s="504"/>
      <c r="BE20" s="504"/>
      <c r="BF20" s="504"/>
      <c r="BG20" s="504"/>
      <c r="BH20" s="504"/>
      <c r="BI20" s="504"/>
      <c r="BJ20" s="504"/>
      <c r="BK20" s="504"/>
      <c r="BL20" s="504"/>
      <c r="BM20" s="504"/>
      <c r="BN20" s="504"/>
      <c r="BO20" s="504"/>
      <c r="BP20" s="504"/>
      <c r="BQ20" s="504"/>
      <c r="BR20" s="504"/>
      <c r="BS20" s="504"/>
      <c r="BT20" s="504"/>
      <c r="BU20" s="504"/>
      <c r="BV20" s="504"/>
      <c r="BW20" s="504"/>
      <c r="BX20" s="504"/>
      <c r="BY20" s="470"/>
      <c r="BZ20" s="470"/>
      <c r="CA20" s="470"/>
      <c r="CB20" s="470"/>
      <c r="CC20" s="470"/>
      <c r="CD20" s="470"/>
      <c r="CE20" s="501"/>
      <c r="CF20" s="501"/>
      <c r="CG20" s="501"/>
      <c r="CH20" s="501"/>
      <c r="CI20" s="501"/>
      <c r="CJ20" s="501"/>
      <c r="CK20" s="501"/>
      <c r="CL20" s="501"/>
      <c r="CM20" s="501"/>
      <c r="CN20" s="501"/>
      <c r="CO20" s="501"/>
      <c r="CP20" s="501"/>
      <c r="CQ20" s="504"/>
      <c r="CR20" s="504"/>
      <c r="CS20" s="504"/>
      <c r="CT20" s="504"/>
      <c r="CU20" s="504"/>
      <c r="CV20" s="504"/>
      <c r="CW20" s="504"/>
      <c r="CX20" s="504"/>
      <c r="CY20" s="504"/>
      <c r="CZ20" s="504"/>
      <c r="DA20" s="504"/>
      <c r="DB20" s="504"/>
      <c r="DC20" s="504"/>
      <c r="DD20" s="504"/>
      <c r="DE20" s="504"/>
      <c r="DF20" s="504"/>
      <c r="DG20" s="504"/>
      <c r="DH20" s="504"/>
      <c r="DI20" s="504"/>
      <c r="DJ20" s="504"/>
      <c r="DK20" s="504"/>
      <c r="DL20" s="504"/>
      <c r="DM20" s="504"/>
      <c r="DN20" s="504"/>
      <c r="DO20" s="504"/>
      <c r="DP20" s="504"/>
      <c r="DQ20" s="504"/>
      <c r="DR20" s="504"/>
      <c r="DS20" s="504"/>
      <c r="DT20" s="505"/>
    </row>
    <row r="21" spans="1:124" ht="21" customHeight="1">
      <c r="A21" s="503"/>
      <c r="B21" s="504"/>
      <c r="C21" s="504"/>
      <c r="D21" s="504"/>
      <c r="E21" s="504"/>
      <c r="F21" s="504"/>
      <c r="G21" s="504"/>
      <c r="H21" s="504"/>
      <c r="I21" s="504"/>
      <c r="J21" s="504"/>
      <c r="K21" s="504"/>
      <c r="L21" s="504"/>
      <c r="M21" s="504"/>
      <c r="N21" s="504"/>
      <c r="O21" s="504"/>
      <c r="P21" s="504"/>
      <c r="Q21" s="504"/>
      <c r="R21" s="504"/>
      <c r="S21" s="504"/>
      <c r="T21" s="504"/>
      <c r="U21" s="504"/>
      <c r="V21" s="504"/>
      <c r="W21" s="504"/>
      <c r="X21" s="504"/>
      <c r="Y21" s="504"/>
      <c r="Z21" s="504"/>
      <c r="AA21" s="504"/>
      <c r="AB21" s="504"/>
      <c r="AC21" s="504"/>
      <c r="AD21" s="504"/>
      <c r="AE21" s="504"/>
      <c r="AF21" s="504"/>
      <c r="AG21" s="504"/>
      <c r="AH21" s="504"/>
      <c r="AI21" s="504"/>
      <c r="AJ21" s="499"/>
      <c r="AK21" s="499"/>
      <c r="AL21" s="499"/>
      <c r="AM21" s="499"/>
      <c r="AN21" s="499"/>
      <c r="AO21" s="504"/>
      <c r="AP21" s="504"/>
      <c r="AQ21" s="504"/>
      <c r="AR21" s="504"/>
      <c r="AS21" s="504"/>
      <c r="AT21" s="504"/>
      <c r="AU21" s="504"/>
      <c r="AV21" s="504"/>
      <c r="AW21" s="504"/>
      <c r="AX21" s="504"/>
      <c r="AY21" s="504"/>
      <c r="AZ21" s="504"/>
      <c r="BA21" s="504"/>
      <c r="BB21" s="504"/>
      <c r="BC21" s="504"/>
      <c r="BD21" s="504"/>
      <c r="BE21" s="504"/>
      <c r="BF21" s="504"/>
      <c r="BG21" s="504"/>
      <c r="BH21" s="504"/>
      <c r="BI21" s="504"/>
      <c r="BJ21" s="504"/>
      <c r="BK21" s="504"/>
      <c r="BL21" s="504"/>
      <c r="BM21" s="504"/>
      <c r="BN21" s="504"/>
      <c r="BO21" s="504"/>
      <c r="BP21" s="504"/>
      <c r="BQ21" s="504"/>
      <c r="BR21" s="504"/>
      <c r="BS21" s="504"/>
      <c r="BT21" s="504"/>
      <c r="BU21" s="504"/>
      <c r="BV21" s="504"/>
      <c r="BW21" s="504"/>
      <c r="BX21" s="504"/>
      <c r="BY21" s="470"/>
      <c r="BZ21" s="470"/>
      <c r="CA21" s="470"/>
      <c r="CB21" s="470"/>
      <c r="CC21" s="470"/>
      <c r="CD21" s="470"/>
      <c r="CE21" s="501"/>
      <c r="CF21" s="501"/>
      <c r="CG21" s="501"/>
      <c r="CH21" s="501"/>
      <c r="CI21" s="501"/>
      <c r="CJ21" s="501"/>
      <c r="CK21" s="501"/>
      <c r="CL21" s="501"/>
      <c r="CM21" s="501"/>
      <c r="CN21" s="501"/>
      <c r="CO21" s="501"/>
      <c r="CP21" s="501"/>
      <c r="CQ21" s="504"/>
      <c r="CR21" s="504"/>
      <c r="CS21" s="504"/>
      <c r="CT21" s="504"/>
      <c r="CU21" s="504"/>
      <c r="CV21" s="504"/>
      <c r="CW21" s="504"/>
      <c r="CX21" s="504"/>
      <c r="CY21" s="504"/>
      <c r="CZ21" s="504"/>
      <c r="DA21" s="504"/>
      <c r="DB21" s="504"/>
      <c r="DC21" s="504"/>
      <c r="DD21" s="504"/>
      <c r="DE21" s="504"/>
      <c r="DF21" s="504"/>
      <c r="DG21" s="504"/>
      <c r="DH21" s="504"/>
      <c r="DI21" s="504"/>
      <c r="DJ21" s="504"/>
      <c r="DK21" s="504"/>
      <c r="DL21" s="504"/>
      <c r="DM21" s="504"/>
      <c r="DN21" s="504"/>
      <c r="DO21" s="504"/>
      <c r="DP21" s="504"/>
      <c r="DQ21" s="504"/>
      <c r="DR21" s="504"/>
      <c r="DS21" s="504"/>
      <c r="DT21" s="505"/>
    </row>
    <row r="22" spans="1:124" ht="21" customHeight="1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499"/>
      <c r="AK22" s="499"/>
      <c r="AL22" s="499"/>
      <c r="AM22" s="499"/>
      <c r="AN22" s="499"/>
      <c r="AO22" s="504"/>
      <c r="AP22" s="504"/>
      <c r="AQ22" s="504"/>
      <c r="AR22" s="504"/>
      <c r="AS22" s="504"/>
      <c r="AT22" s="504"/>
      <c r="AU22" s="504"/>
      <c r="AV22" s="504"/>
      <c r="AW22" s="504"/>
      <c r="AX22" s="504"/>
      <c r="AY22" s="504"/>
      <c r="AZ22" s="504"/>
      <c r="BA22" s="504"/>
      <c r="BB22" s="504"/>
      <c r="BC22" s="504"/>
      <c r="BD22" s="504"/>
      <c r="BE22" s="504"/>
      <c r="BF22" s="504"/>
      <c r="BG22" s="504"/>
      <c r="BH22" s="504"/>
      <c r="BI22" s="504"/>
      <c r="BJ22" s="504"/>
      <c r="BK22" s="504"/>
      <c r="BL22" s="504"/>
      <c r="BM22" s="504"/>
      <c r="BN22" s="504"/>
      <c r="BO22" s="504"/>
      <c r="BP22" s="504"/>
      <c r="BQ22" s="504"/>
      <c r="BR22" s="504"/>
      <c r="BS22" s="504"/>
      <c r="BT22" s="504"/>
      <c r="BU22" s="504"/>
      <c r="BV22" s="504"/>
      <c r="BW22" s="504"/>
      <c r="BX22" s="504"/>
      <c r="BY22" s="470"/>
      <c r="BZ22" s="470"/>
      <c r="CA22" s="470"/>
      <c r="CB22" s="470"/>
      <c r="CC22" s="470"/>
      <c r="CD22" s="470"/>
      <c r="CE22" s="501"/>
      <c r="CF22" s="501"/>
      <c r="CG22" s="501"/>
      <c r="CH22" s="501"/>
      <c r="CI22" s="501"/>
      <c r="CJ22" s="501"/>
      <c r="CK22" s="501"/>
      <c r="CL22" s="501"/>
      <c r="CM22" s="501"/>
      <c r="CN22" s="501"/>
      <c r="CO22" s="501"/>
      <c r="CP22" s="501"/>
      <c r="CQ22" s="504"/>
      <c r="CR22" s="504"/>
      <c r="CS22" s="504"/>
      <c r="CT22" s="504"/>
      <c r="CU22" s="504"/>
      <c r="CV22" s="504"/>
      <c r="CW22" s="504"/>
      <c r="CX22" s="504"/>
      <c r="CY22" s="504"/>
      <c r="CZ22" s="504"/>
      <c r="DA22" s="504"/>
      <c r="DB22" s="504"/>
      <c r="DC22" s="504"/>
      <c r="DD22" s="504"/>
      <c r="DE22" s="504"/>
      <c r="DF22" s="504"/>
      <c r="DG22" s="504"/>
      <c r="DH22" s="504"/>
      <c r="DI22" s="504"/>
      <c r="DJ22" s="504"/>
      <c r="DK22" s="504"/>
      <c r="DL22" s="504"/>
      <c r="DM22" s="504"/>
      <c r="DN22" s="504"/>
      <c r="DO22" s="504"/>
      <c r="DP22" s="504"/>
      <c r="DQ22" s="504"/>
      <c r="DR22" s="504"/>
      <c r="DS22" s="504"/>
      <c r="DT22" s="505"/>
    </row>
    <row r="23" spans="1:124" ht="21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499"/>
      <c r="AK23" s="499"/>
      <c r="AL23" s="499"/>
      <c r="AM23" s="499"/>
      <c r="AN23" s="499"/>
      <c r="AO23" s="504"/>
      <c r="AP23" s="504"/>
      <c r="AQ23" s="504"/>
      <c r="AR23" s="504"/>
      <c r="AS23" s="504"/>
      <c r="AT23" s="504"/>
      <c r="AU23" s="504"/>
      <c r="AV23" s="504"/>
      <c r="AW23" s="504"/>
      <c r="AX23" s="504"/>
      <c r="AY23" s="504"/>
      <c r="AZ23" s="504"/>
      <c r="BA23" s="504"/>
      <c r="BB23" s="504"/>
      <c r="BC23" s="504"/>
      <c r="BD23" s="504"/>
      <c r="BE23" s="504"/>
      <c r="BF23" s="504"/>
      <c r="BG23" s="504"/>
      <c r="BH23" s="504"/>
      <c r="BI23" s="504"/>
      <c r="BJ23" s="504"/>
      <c r="BK23" s="504"/>
      <c r="BL23" s="504"/>
      <c r="BM23" s="504"/>
      <c r="BN23" s="504"/>
      <c r="BO23" s="504"/>
      <c r="BP23" s="504"/>
      <c r="BQ23" s="504"/>
      <c r="BR23" s="504"/>
      <c r="BS23" s="504"/>
      <c r="BT23" s="504"/>
      <c r="BU23" s="504"/>
      <c r="BV23" s="504"/>
      <c r="BW23" s="504"/>
      <c r="BX23" s="504"/>
      <c r="BY23" s="470"/>
      <c r="BZ23" s="470"/>
      <c r="CA23" s="470"/>
      <c r="CB23" s="470"/>
      <c r="CC23" s="470"/>
      <c r="CD23" s="470"/>
      <c r="CE23" s="501"/>
      <c r="CF23" s="501"/>
      <c r="CG23" s="501"/>
      <c r="CH23" s="501"/>
      <c r="CI23" s="501"/>
      <c r="CJ23" s="501"/>
      <c r="CK23" s="501"/>
      <c r="CL23" s="501"/>
      <c r="CM23" s="501"/>
      <c r="CN23" s="501"/>
      <c r="CO23" s="501"/>
      <c r="CP23" s="501"/>
      <c r="CQ23" s="504"/>
      <c r="CR23" s="504"/>
      <c r="CS23" s="504"/>
      <c r="CT23" s="504"/>
      <c r="CU23" s="504"/>
      <c r="CV23" s="504"/>
      <c r="CW23" s="504"/>
      <c r="CX23" s="504"/>
      <c r="CY23" s="504"/>
      <c r="CZ23" s="504"/>
      <c r="DA23" s="504"/>
      <c r="DB23" s="504"/>
      <c r="DC23" s="504"/>
      <c r="DD23" s="504"/>
      <c r="DE23" s="504"/>
      <c r="DF23" s="504"/>
      <c r="DG23" s="504"/>
      <c r="DH23" s="504"/>
      <c r="DI23" s="504"/>
      <c r="DJ23" s="504"/>
      <c r="DK23" s="504"/>
      <c r="DL23" s="504"/>
      <c r="DM23" s="504"/>
      <c r="DN23" s="504"/>
      <c r="DO23" s="504"/>
      <c r="DP23" s="504"/>
      <c r="DQ23" s="504"/>
      <c r="DR23" s="504"/>
      <c r="DS23" s="504"/>
      <c r="DT23" s="505"/>
    </row>
    <row r="24" spans="1:124" ht="21" customHeight="1">
      <c r="A24" s="503"/>
      <c r="B24" s="504"/>
      <c r="C24" s="504"/>
      <c r="D24" s="504"/>
      <c r="E24" s="504"/>
      <c r="F24" s="504"/>
      <c r="G24" s="504"/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4"/>
      <c r="T24" s="504"/>
      <c r="U24" s="504"/>
      <c r="V24" s="504"/>
      <c r="W24" s="504"/>
      <c r="X24" s="504"/>
      <c r="Y24" s="504"/>
      <c r="Z24" s="504"/>
      <c r="AA24" s="504"/>
      <c r="AB24" s="504"/>
      <c r="AC24" s="504"/>
      <c r="AD24" s="504"/>
      <c r="AE24" s="504"/>
      <c r="AF24" s="504"/>
      <c r="AG24" s="504"/>
      <c r="AH24" s="504"/>
      <c r="AI24" s="504"/>
      <c r="AJ24" s="499"/>
      <c r="AK24" s="499"/>
      <c r="AL24" s="499"/>
      <c r="AM24" s="499"/>
      <c r="AN24" s="499"/>
      <c r="AO24" s="504"/>
      <c r="AP24" s="504"/>
      <c r="AQ24" s="504"/>
      <c r="AR24" s="504"/>
      <c r="AS24" s="504"/>
      <c r="AT24" s="504"/>
      <c r="AU24" s="504"/>
      <c r="AV24" s="504"/>
      <c r="AW24" s="504"/>
      <c r="AX24" s="504"/>
      <c r="AY24" s="504"/>
      <c r="AZ24" s="504"/>
      <c r="BA24" s="504"/>
      <c r="BB24" s="504"/>
      <c r="BC24" s="504"/>
      <c r="BD24" s="504"/>
      <c r="BE24" s="504"/>
      <c r="BF24" s="504"/>
      <c r="BG24" s="504"/>
      <c r="BH24" s="504"/>
      <c r="BI24" s="504"/>
      <c r="BJ24" s="504"/>
      <c r="BK24" s="504"/>
      <c r="BL24" s="504"/>
      <c r="BM24" s="504"/>
      <c r="BN24" s="504"/>
      <c r="BO24" s="504"/>
      <c r="BP24" s="504"/>
      <c r="BQ24" s="504"/>
      <c r="BR24" s="504"/>
      <c r="BS24" s="504"/>
      <c r="BT24" s="504"/>
      <c r="BU24" s="504"/>
      <c r="BV24" s="504"/>
      <c r="BW24" s="504"/>
      <c r="BX24" s="504"/>
      <c r="BY24" s="470"/>
      <c r="BZ24" s="470"/>
      <c r="CA24" s="470"/>
      <c r="CB24" s="470"/>
      <c r="CC24" s="470"/>
      <c r="CD24" s="470"/>
      <c r="CE24" s="501"/>
      <c r="CF24" s="501"/>
      <c r="CG24" s="501"/>
      <c r="CH24" s="501"/>
      <c r="CI24" s="501"/>
      <c r="CJ24" s="501"/>
      <c r="CK24" s="501"/>
      <c r="CL24" s="501"/>
      <c r="CM24" s="501"/>
      <c r="CN24" s="501"/>
      <c r="CO24" s="501"/>
      <c r="CP24" s="501"/>
      <c r="CQ24" s="504"/>
      <c r="CR24" s="504"/>
      <c r="CS24" s="504"/>
      <c r="CT24" s="504"/>
      <c r="CU24" s="504"/>
      <c r="CV24" s="504"/>
      <c r="CW24" s="504"/>
      <c r="CX24" s="504"/>
      <c r="CY24" s="504"/>
      <c r="CZ24" s="504"/>
      <c r="DA24" s="504"/>
      <c r="DB24" s="504"/>
      <c r="DC24" s="504"/>
      <c r="DD24" s="504"/>
      <c r="DE24" s="504"/>
      <c r="DF24" s="504"/>
      <c r="DG24" s="504"/>
      <c r="DH24" s="504"/>
      <c r="DI24" s="504"/>
      <c r="DJ24" s="504"/>
      <c r="DK24" s="504"/>
      <c r="DL24" s="504"/>
      <c r="DM24" s="504"/>
      <c r="DN24" s="504"/>
      <c r="DO24" s="504"/>
      <c r="DP24" s="504"/>
      <c r="DQ24" s="504"/>
      <c r="DR24" s="504"/>
      <c r="DS24" s="504"/>
      <c r="DT24" s="505"/>
    </row>
    <row r="25" spans="1:124" ht="21" customHeight="1">
      <c r="A25" s="503"/>
      <c r="B25" s="504"/>
      <c r="C25" s="504"/>
      <c r="D25" s="504"/>
      <c r="E25" s="504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4"/>
      <c r="T25" s="504"/>
      <c r="U25" s="504"/>
      <c r="V25" s="504"/>
      <c r="W25" s="504"/>
      <c r="X25" s="504"/>
      <c r="Y25" s="504"/>
      <c r="Z25" s="504"/>
      <c r="AA25" s="504"/>
      <c r="AB25" s="504"/>
      <c r="AC25" s="504"/>
      <c r="AD25" s="504"/>
      <c r="AE25" s="504"/>
      <c r="AF25" s="504"/>
      <c r="AG25" s="504"/>
      <c r="AH25" s="504"/>
      <c r="AI25" s="504"/>
      <c r="AJ25" s="499"/>
      <c r="AK25" s="499"/>
      <c r="AL25" s="499"/>
      <c r="AM25" s="499"/>
      <c r="AN25" s="499"/>
      <c r="AO25" s="504"/>
      <c r="AP25" s="504"/>
      <c r="AQ25" s="504"/>
      <c r="AR25" s="504"/>
      <c r="AS25" s="504"/>
      <c r="AT25" s="504"/>
      <c r="AU25" s="504"/>
      <c r="AV25" s="504"/>
      <c r="AW25" s="504"/>
      <c r="AX25" s="504"/>
      <c r="AY25" s="504"/>
      <c r="AZ25" s="504"/>
      <c r="BA25" s="504"/>
      <c r="BB25" s="504"/>
      <c r="BC25" s="504"/>
      <c r="BD25" s="504"/>
      <c r="BE25" s="504"/>
      <c r="BF25" s="504"/>
      <c r="BG25" s="504"/>
      <c r="BH25" s="504"/>
      <c r="BI25" s="504"/>
      <c r="BJ25" s="504"/>
      <c r="BK25" s="504"/>
      <c r="BL25" s="504"/>
      <c r="BM25" s="504"/>
      <c r="BN25" s="504"/>
      <c r="BO25" s="504"/>
      <c r="BP25" s="504"/>
      <c r="BQ25" s="504"/>
      <c r="BR25" s="504"/>
      <c r="BS25" s="504"/>
      <c r="BT25" s="504"/>
      <c r="BU25" s="504"/>
      <c r="BV25" s="504"/>
      <c r="BW25" s="504"/>
      <c r="BX25" s="504"/>
      <c r="BY25" s="470"/>
      <c r="BZ25" s="470"/>
      <c r="CA25" s="470"/>
      <c r="CB25" s="470"/>
      <c r="CC25" s="470"/>
      <c r="CD25" s="470"/>
      <c r="CE25" s="501"/>
      <c r="CF25" s="501"/>
      <c r="CG25" s="501"/>
      <c r="CH25" s="501"/>
      <c r="CI25" s="501"/>
      <c r="CJ25" s="501"/>
      <c r="CK25" s="501"/>
      <c r="CL25" s="501"/>
      <c r="CM25" s="501"/>
      <c r="CN25" s="501"/>
      <c r="CO25" s="501"/>
      <c r="CP25" s="501"/>
      <c r="CQ25" s="504"/>
      <c r="CR25" s="504"/>
      <c r="CS25" s="504"/>
      <c r="CT25" s="504"/>
      <c r="CU25" s="504"/>
      <c r="CV25" s="504"/>
      <c r="CW25" s="504"/>
      <c r="CX25" s="504"/>
      <c r="CY25" s="504"/>
      <c r="CZ25" s="504"/>
      <c r="DA25" s="504"/>
      <c r="DB25" s="504"/>
      <c r="DC25" s="504"/>
      <c r="DD25" s="504"/>
      <c r="DE25" s="504"/>
      <c r="DF25" s="504"/>
      <c r="DG25" s="504"/>
      <c r="DH25" s="504"/>
      <c r="DI25" s="504"/>
      <c r="DJ25" s="504"/>
      <c r="DK25" s="504"/>
      <c r="DL25" s="504"/>
      <c r="DM25" s="504"/>
      <c r="DN25" s="504"/>
      <c r="DO25" s="504"/>
      <c r="DP25" s="504"/>
      <c r="DQ25" s="504"/>
      <c r="DR25" s="504"/>
      <c r="DS25" s="504"/>
      <c r="DT25" s="505"/>
    </row>
    <row r="26" spans="1:124" ht="21" customHeight="1">
      <c r="A26" s="503"/>
      <c r="B26" s="504"/>
      <c r="C26" s="504"/>
      <c r="D26" s="504"/>
      <c r="E26" s="504"/>
      <c r="F26" s="504"/>
      <c r="G26" s="504"/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4"/>
      <c r="T26" s="504"/>
      <c r="U26" s="504"/>
      <c r="V26" s="504"/>
      <c r="W26" s="504"/>
      <c r="X26" s="504"/>
      <c r="Y26" s="504"/>
      <c r="Z26" s="504"/>
      <c r="AA26" s="504"/>
      <c r="AB26" s="504"/>
      <c r="AC26" s="504"/>
      <c r="AD26" s="504"/>
      <c r="AE26" s="504"/>
      <c r="AF26" s="504"/>
      <c r="AG26" s="504"/>
      <c r="AH26" s="504"/>
      <c r="AI26" s="504"/>
      <c r="AJ26" s="499"/>
      <c r="AK26" s="499"/>
      <c r="AL26" s="499"/>
      <c r="AM26" s="499"/>
      <c r="AN26" s="499"/>
      <c r="AO26" s="504"/>
      <c r="AP26" s="504"/>
      <c r="AQ26" s="504"/>
      <c r="AR26" s="504"/>
      <c r="AS26" s="504"/>
      <c r="AT26" s="504"/>
      <c r="AU26" s="504"/>
      <c r="AV26" s="504"/>
      <c r="AW26" s="504"/>
      <c r="AX26" s="504"/>
      <c r="AY26" s="504"/>
      <c r="AZ26" s="504"/>
      <c r="BA26" s="504"/>
      <c r="BB26" s="504"/>
      <c r="BC26" s="504"/>
      <c r="BD26" s="504"/>
      <c r="BE26" s="504"/>
      <c r="BF26" s="504"/>
      <c r="BG26" s="504"/>
      <c r="BH26" s="504"/>
      <c r="BI26" s="504"/>
      <c r="BJ26" s="504"/>
      <c r="BK26" s="504"/>
      <c r="BL26" s="504"/>
      <c r="BM26" s="504"/>
      <c r="BN26" s="504"/>
      <c r="BO26" s="504"/>
      <c r="BP26" s="504"/>
      <c r="BQ26" s="504"/>
      <c r="BR26" s="504"/>
      <c r="BS26" s="504"/>
      <c r="BT26" s="504"/>
      <c r="BU26" s="504"/>
      <c r="BV26" s="504"/>
      <c r="BW26" s="504"/>
      <c r="BX26" s="504"/>
      <c r="BY26" s="470"/>
      <c r="BZ26" s="470"/>
      <c r="CA26" s="470"/>
      <c r="CB26" s="470"/>
      <c r="CC26" s="470"/>
      <c r="CD26" s="470"/>
      <c r="CE26" s="501"/>
      <c r="CF26" s="501"/>
      <c r="CG26" s="501"/>
      <c r="CH26" s="501"/>
      <c r="CI26" s="501"/>
      <c r="CJ26" s="501"/>
      <c r="CK26" s="501"/>
      <c r="CL26" s="501"/>
      <c r="CM26" s="501"/>
      <c r="CN26" s="501"/>
      <c r="CO26" s="501"/>
      <c r="CP26" s="501"/>
      <c r="CQ26" s="504"/>
      <c r="CR26" s="504"/>
      <c r="CS26" s="504"/>
      <c r="CT26" s="504"/>
      <c r="CU26" s="504"/>
      <c r="CV26" s="504"/>
      <c r="CW26" s="504"/>
      <c r="CX26" s="504"/>
      <c r="CY26" s="504"/>
      <c r="CZ26" s="504"/>
      <c r="DA26" s="504"/>
      <c r="DB26" s="504"/>
      <c r="DC26" s="504"/>
      <c r="DD26" s="504"/>
      <c r="DE26" s="504"/>
      <c r="DF26" s="504"/>
      <c r="DG26" s="504"/>
      <c r="DH26" s="504"/>
      <c r="DI26" s="504"/>
      <c r="DJ26" s="504"/>
      <c r="DK26" s="504"/>
      <c r="DL26" s="504"/>
      <c r="DM26" s="504"/>
      <c r="DN26" s="504"/>
      <c r="DO26" s="504"/>
      <c r="DP26" s="504"/>
      <c r="DQ26" s="504"/>
      <c r="DR26" s="504"/>
      <c r="DS26" s="504"/>
      <c r="DT26" s="505"/>
    </row>
    <row r="27" spans="1:124" ht="21" customHeight="1">
      <c r="A27" s="503"/>
      <c r="B27" s="504"/>
      <c r="C27" s="504"/>
      <c r="D27" s="504"/>
      <c r="E27" s="504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504"/>
      <c r="T27" s="504"/>
      <c r="U27" s="504"/>
      <c r="V27" s="504"/>
      <c r="W27" s="504"/>
      <c r="X27" s="504"/>
      <c r="Y27" s="504"/>
      <c r="Z27" s="504"/>
      <c r="AA27" s="504"/>
      <c r="AB27" s="504"/>
      <c r="AC27" s="504"/>
      <c r="AD27" s="504"/>
      <c r="AE27" s="504"/>
      <c r="AF27" s="504"/>
      <c r="AG27" s="504"/>
      <c r="AH27" s="504"/>
      <c r="AI27" s="504"/>
      <c r="AJ27" s="499"/>
      <c r="AK27" s="499"/>
      <c r="AL27" s="499"/>
      <c r="AM27" s="499"/>
      <c r="AN27" s="499"/>
      <c r="AO27" s="504"/>
      <c r="AP27" s="504"/>
      <c r="AQ27" s="504"/>
      <c r="AR27" s="504"/>
      <c r="AS27" s="504"/>
      <c r="AT27" s="504"/>
      <c r="AU27" s="504"/>
      <c r="AV27" s="504"/>
      <c r="AW27" s="504"/>
      <c r="AX27" s="504"/>
      <c r="AY27" s="504"/>
      <c r="AZ27" s="504"/>
      <c r="BA27" s="504"/>
      <c r="BB27" s="504"/>
      <c r="BC27" s="504"/>
      <c r="BD27" s="504"/>
      <c r="BE27" s="504"/>
      <c r="BF27" s="504"/>
      <c r="BG27" s="504"/>
      <c r="BH27" s="504"/>
      <c r="BI27" s="504"/>
      <c r="BJ27" s="504"/>
      <c r="BK27" s="504"/>
      <c r="BL27" s="504"/>
      <c r="BM27" s="504"/>
      <c r="BN27" s="504"/>
      <c r="BO27" s="504"/>
      <c r="BP27" s="504"/>
      <c r="BQ27" s="504"/>
      <c r="BR27" s="504"/>
      <c r="BS27" s="504"/>
      <c r="BT27" s="504"/>
      <c r="BU27" s="504"/>
      <c r="BV27" s="504"/>
      <c r="BW27" s="504"/>
      <c r="BX27" s="504"/>
      <c r="BY27" s="470"/>
      <c r="BZ27" s="470"/>
      <c r="CA27" s="470"/>
      <c r="CB27" s="470"/>
      <c r="CC27" s="470"/>
      <c r="CD27" s="470"/>
      <c r="CE27" s="501"/>
      <c r="CF27" s="501"/>
      <c r="CG27" s="501"/>
      <c r="CH27" s="501"/>
      <c r="CI27" s="501"/>
      <c r="CJ27" s="501"/>
      <c r="CK27" s="501"/>
      <c r="CL27" s="501"/>
      <c r="CM27" s="501"/>
      <c r="CN27" s="501"/>
      <c r="CO27" s="501"/>
      <c r="CP27" s="501"/>
      <c r="CQ27" s="504"/>
      <c r="CR27" s="504"/>
      <c r="CS27" s="504"/>
      <c r="CT27" s="504"/>
      <c r="CU27" s="504"/>
      <c r="CV27" s="504"/>
      <c r="CW27" s="504"/>
      <c r="CX27" s="504"/>
      <c r="CY27" s="504"/>
      <c r="CZ27" s="504"/>
      <c r="DA27" s="504"/>
      <c r="DB27" s="504"/>
      <c r="DC27" s="504"/>
      <c r="DD27" s="504"/>
      <c r="DE27" s="504"/>
      <c r="DF27" s="504"/>
      <c r="DG27" s="504"/>
      <c r="DH27" s="504"/>
      <c r="DI27" s="504"/>
      <c r="DJ27" s="504"/>
      <c r="DK27" s="504"/>
      <c r="DL27" s="504"/>
      <c r="DM27" s="504"/>
      <c r="DN27" s="504"/>
      <c r="DO27" s="504"/>
      <c r="DP27" s="504"/>
      <c r="DQ27" s="504"/>
      <c r="DR27" s="504"/>
      <c r="DS27" s="504"/>
      <c r="DT27" s="505"/>
    </row>
    <row r="28" spans="1:124" ht="21" customHeight="1">
      <c r="A28" s="503"/>
      <c r="B28" s="504"/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4"/>
      <c r="W28" s="504"/>
      <c r="X28" s="504"/>
      <c r="Y28" s="504"/>
      <c r="Z28" s="504"/>
      <c r="AA28" s="504"/>
      <c r="AB28" s="504"/>
      <c r="AC28" s="504"/>
      <c r="AD28" s="504"/>
      <c r="AE28" s="504"/>
      <c r="AF28" s="504"/>
      <c r="AG28" s="504"/>
      <c r="AH28" s="504"/>
      <c r="AI28" s="504"/>
      <c r="AJ28" s="499"/>
      <c r="AK28" s="499"/>
      <c r="AL28" s="499"/>
      <c r="AM28" s="499"/>
      <c r="AN28" s="499"/>
      <c r="AO28" s="504"/>
      <c r="AP28" s="504"/>
      <c r="AQ28" s="504"/>
      <c r="AR28" s="504"/>
      <c r="AS28" s="504"/>
      <c r="AT28" s="504"/>
      <c r="AU28" s="504"/>
      <c r="AV28" s="504"/>
      <c r="AW28" s="504"/>
      <c r="AX28" s="504"/>
      <c r="AY28" s="504"/>
      <c r="AZ28" s="504"/>
      <c r="BA28" s="504"/>
      <c r="BB28" s="504"/>
      <c r="BC28" s="504"/>
      <c r="BD28" s="504"/>
      <c r="BE28" s="504"/>
      <c r="BF28" s="504"/>
      <c r="BG28" s="504"/>
      <c r="BH28" s="504"/>
      <c r="BI28" s="504"/>
      <c r="BJ28" s="504"/>
      <c r="BK28" s="504"/>
      <c r="BL28" s="504"/>
      <c r="BM28" s="504"/>
      <c r="BN28" s="504"/>
      <c r="BO28" s="504"/>
      <c r="BP28" s="504"/>
      <c r="BQ28" s="504"/>
      <c r="BR28" s="504"/>
      <c r="BS28" s="504"/>
      <c r="BT28" s="504"/>
      <c r="BU28" s="504"/>
      <c r="BV28" s="504"/>
      <c r="BW28" s="504"/>
      <c r="BX28" s="504"/>
      <c r="BY28" s="470"/>
      <c r="BZ28" s="470"/>
      <c r="CA28" s="470"/>
      <c r="CB28" s="470"/>
      <c r="CC28" s="470"/>
      <c r="CD28" s="470"/>
      <c r="CE28" s="501"/>
      <c r="CF28" s="501"/>
      <c r="CG28" s="501"/>
      <c r="CH28" s="501"/>
      <c r="CI28" s="501"/>
      <c r="CJ28" s="501"/>
      <c r="CK28" s="501"/>
      <c r="CL28" s="501"/>
      <c r="CM28" s="501"/>
      <c r="CN28" s="501"/>
      <c r="CO28" s="501"/>
      <c r="CP28" s="501"/>
      <c r="CQ28" s="504"/>
      <c r="CR28" s="504"/>
      <c r="CS28" s="504"/>
      <c r="CT28" s="504"/>
      <c r="CU28" s="504"/>
      <c r="CV28" s="504"/>
      <c r="CW28" s="504"/>
      <c r="CX28" s="504"/>
      <c r="CY28" s="504"/>
      <c r="CZ28" s="504"/>
      <c r="DA28" s="504"/>
      <c r="DB28" s="504"/>
      <c r="DC28" s="504"/>
      <c r="DD28" s="504"/>
      <c r="DE28" s="504"/>
      <c r="DF28" s="504"/>
      <c r="DG28" s="504"/>
      <c r="DH28" s="504"/>
      <c r="DI28" s="504"/>
      <c r="DJ28" s="504"/>
      <c r="DK28" s="504"/>
      <c r="DL28" s="504"/>
      <c r="DM28" s="504"/>
      <c r="DN28" s="504"/>
      <c r="DO28" s="504"/>
      <c r="DP28" s="504"/>
      <c r="DQ28" s="504"/>
      <c r="DR28" s="504"/>
      <c r="DS28" s="504"/>
      <c r="DT28" s="505"/>
    </row>
    <row r="29" spans="1:124" ht="21" customHeight="1">
      <c r="A29" s="503"/>
      <c r="B29" s="504"/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  <c r="N29" s="504"/>
      <c r="O29" s="504"/>
      <c r="P29" s="504"/>
      <c r="Q29" s="504"/>
      <c r="R29" s="504"/>
      <c r="S29" s="504"/>
      <c r="T29" s="504"/>
      <c r="U29" s="504"/>
      <c r="V29" s="504"/>
      <c r="W29" s="504"/>
      <c r="X29" s="504"/>
      <c r="Y29" s="504"/>
      <c r="Z29" s="504"/>
      <c r="AA29" s="504"/>
      <c r="AB29" s="504"/>
      <c r="AC29" s="504"/>
      <c r="AD29" s="504"/>
      <c r="AE29" s="504"/>
      <c r="AF29" s="504"/>
      <c r="AG29" s="504"/>
      <c r="AH29" s="504"/>
      <c r="AI29" s="504"/>
      <c r="AJ29" s="499"/>
      <c r="AK29" s="499"/>
      <c r="AL29" s="499"/>
      <c r="AM29" s="499"/>
      <c r="AN29" s="499"/>
      <c r="AO29" s="504"/>
      <c r="AP29" s="504"/>
      <c r="AQ29" s="504"/>
      <c r="AR29" s="504"/>
      <c r="AS29" s="504"/>
      <c r="AT29" s="504"/>
      <c r="AU29" s="504"/>
      <c r="AV29" s="504"/>
      <c r="AW29" s="504"/>
      <c r="AX29" s="504"/>
      <c r="AY29" s="504"/>
      <c r="AZ29" s="504"/>
      <c r="BA29" s="504"/>
      <c r="BB29" s="504"/>
      <c r="BC29" s="504"/>
      <c r="BD29" s="504"/>
      <c r="BE29" s="504"/>
      <c r="BF29" s="504"/>
      <c r="BG29" s="504"/>
      <c r="BH29" s="504"/>
      <c r="BI29" s="504"/>
      <c r="BJ29" s="504"/>
      <c r="BK29" s="504"/>
      <c r="BL29" s="504"/>
      <c r="BM29" s="504"/>
      <c r="BN29" s="504"/>
      <c r="BO29" s="504"/>
      <c r="BP29" s="504"/>
      <c r="BQ29" s="504"/>
      <c r="BR29" s="504"/>
      <c r="BS29" s="504"/>
      <c r="BT29" s="504"/>
      <c r="BU29" s="504"/>
      <c r="BV29" s="504"/>
      <c r="BW29" s="504"/>
      <c r="BX29" s="504"/>
      <c r="BY29" s="470"/>
      <c r="BZ29" s="470"/>
      <c r="CA29" s="470"/>
      <c r="CB29" s="470"/>
      <c r="CC29" s="470"/>
      <c r="CD29" s="470"/>
      <c r="CE29" s="501"/>
      <c r="CF29" s="501"/>
      <c r="CG29" s="501"/>
      <c r="CH29" s="501"/>
      <c r="CI29" s="501"/>
      <c r="CJ29" s="501"/>
      <c r="CK29" s="501"/>
      <c r="CL29" s="501"/>
      <c r="CM29" s="501"/>
      <c r="CN29" s="501"/>
      <c r="CO29" s="501"/>
      <c r="CP29" s="501"/>
      <c r="CQ29" s="504"/>
      <c r="CR29" s="504"/>
      <c r="CS29" s="504"/>
      <c r="CT29" s="504"/>
      <c r="CU29" s="504"/>
      <c r="CV29" s="504"/>
      <c r="CW29" s="504"/>
      <c r="CX29" s="504"/>
      <c r="CY29" s="504"/>
      <c r="CZ29" s="504"/>
      <c r="DA29" s="504"/>
      <c r="DB29" s="504"/>
      <c r="DC29" s="504"/>
      <c r="DD29" s="504"/>
      <c r="DE29" s="504"/>
      <c r="DF29" s="504"/>
      <c r="DG29" s="504"/>
      <c r="DH29" s="504"/>
      <c r="DI29" s="504"/>
      <c r="DJ29" s="504"/>
      <c r="DK29" s="504"/>
      <c r="DL29" s="504"/>
      <c r="DM29" s="504"/>
      <c r="DN29" s="504"/>
      <c r="DO29" s="504"/>
      <c r="DP29" s="504"/>
      <c r="DQ29" s="504"/>
      <c r="DR29" s="504"/>
      <c r="DS29" s="504"/>
      <c r="DT29" s="505"/>
    </row>
    <row r="30" spans="1:124" ht="21" customHeight="1">
      <c r="A30" s="503"/>
      <c r="B30" s="504"/>
      <c r="C30" s="504"/>
      <c r="D30" s="504"/>
      <c r="E30" s="504"/>
      <c r="F30" s="504"/>
      <c r="G30" s="504"/>
      <c r="H30" s="504"/>
      <c r="I30" s="504"/>
      <c r="J30" s="504"/>
      <c r="K30" s="504"/>
      <c r="L30" s="504"/>
      <c r="M30" s="504"/>
      <c r="N30" s="504"/>
      <c r="O30" s="504"/>
      <c r="P30" s="504"/>
      <c r="Q30" s="504"/>
      <c r="R30" s="504"/>
      <c r="S30" s="504"/>
      <c r="T30" s="504"/>
      <c r="U30" s="504"/>
      <c r="V30" s="504"/>
      <c r="W30" s="504"/>
      <c r="X30" s="504"/>
      <c r="Y30" s="504"/>
      <c r="Z30" s="504"/>
      <c r="AA30" s="504"/>
      <c r="AB30" s="504"/>
      <c r="AC30" s="504"/>
      <c r="AD30" s="504"/>
      <c r="AE30" s="504"/>
      <c r="AF30" s="504"/>
      <c r="AG30" s="504"/>
      <c r="AH30" s="504"/>
      <c r="AI30" s="504"/>
      <c r="AJ30" s="499"/>
      <c r="AK30" s="499"/>
      <c r="AL30" s="499"/>
      <c r="AM30" s="499"/>
      <c r="AN30" s="499"/>
      <c r="AO30" s="504"/>
      <c r="AP30" s="504"/>
      <c r="AQ30" s="504"/>
      <c r="AR30" s="504"/>
      <c r="AS30" s="504"/>
      <c r="AT30" s="504"/>
      <c r="AU30" s="504"/>
      <c r="AV30" s="504"/>
      <c r="AW30" s="504"/>
      <c r="AX30" s="504"/>
      <c r="AY30" s="504"/>
      <c r="AZ30" s="504"/>
      <c r="BA30" s="504"/>
      <c r="BB30" s="504"/>
      <c r="BC30" s="504"/>
      <c r="BD30" s="504"/>
      <c r="BE30" s="504"/>
      <c r="BF30" s="504"/>
      <c r="BG30" s="504"/>
      <c r="BH30" s="504"/>
      <c r="BI30" s="504"/>
      <c r="BJ30" s="504"/>
      <c r="BK30" s="504"/>
      <c r="BL30" s="504"/>
      <c r="BM30" s="504"/>
      <c r="BN30" s="504"/>
      <c r="BO30" s="504"/>
      <c r="BP30" s="504"/>
      <c r="BQ30" s="504"/>
      <c r="BR30" s="504"/>
      <c r="BS30" s="504"/>
      <c r="BT30" s="504"/>
      <c r="BU30" s="504"/>
      <c r="BV30" s="504"/>
      <c r="BW30" s="504"/>
      <c r="BX30" s="504"/>
      <c r="BY30" s="470"/>
      <c r="BZ30" s="470"/>
      <c r="CA30" s="470"/>
      <c r="CB30" s="470"/>
      <c r="CC30" s="470"/>
      <c r="CD30" s="470"/>
      <c r="CE30" s="501"/>
      <c r="CF30" s="501"/>
      <c r="CG30" s="501"/>
      <c r="CH30" s="501"/>
      <c r="CI30" s="501"/>
      <c r="CJ30" s="501"/>
      <c r="CK30" s="501"/>
      <c r="CL30" s="501"/>
      <c r="CM30" s="501"/>
      <c r="CN30" s="501"/>
      <c r="CO30" s="501"/>
      <c r="CP30" s="501"/>
      <c r="CQ30" s="504"/>
      <c r="CR30" s="504"/>
      <c r="CS30" s="504"/>
      <c r="CT30" s="504"/>
      <c r="CU30" s="504"/>
      <c r="CV30" s="504"/>
      <c r="CW30" s="504"/>
      <c r="CX30" s="504"/>
      <c r="CY30" s="504"/>
      <c r="CZ30" s="504"/>
      <c r="DA30" s="504"/>
      <c r="DB30" s="504"/>
      <c r="DC30" s="504"/>
      <c r="DD30" s="504"/>
      <c r="DE30" s="504"/>
      <c r="DF30" s="504"/>
      <c r="DG30" s="504"/>
      <c r="DH30" s="504"/>
      <c r="DI30" s="504"/>
      <c r="DJ30" s="504"/>
      <c r="DK30" s="504"/>
      <c r="DL30" s="504"/>
      <c r="DM30" s="504"/>
      <c r="DN30" s="504"/>
      <c r="DO30" s="504"/>
      <c r="DP30" s="504"/>
      <c r="DQ30" s="504"/>
      <c r="DR30" s="504"/>
      <c r="DS30" s="504"/>
      <c r="DT30" s="505"/>
    </row>
    <row r="31" spans="1:124" ht="21" customHeight="1">
      <c r="A31" s="503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499"/>
      <c r="AK31" s="499"/>
      <c r="AL31" s="499"/>
      <c r="AM31" s="499"/>
      <c r="AN31" s="499"/>
      <c r="AO31" s="504"/>
      <c r="AP31" s="504"/>
      <c r="AQ31" s="504"/>
      <c r="AR31" s="504"/>
      <c r="AS31" s="504"/>
      <c r="AT31" s="504"/>
      <c r="AU31" s="504"/>
      <c r="AV31" s="504"/>
      <c r="AW31" s="504"/>
      <c r="AX31" s="504"/>
      <c r="AY31" s="504"/>
      <c r="AZ31" s="504"/>
      <c r="BA31" s="504"/>
      <c r="BB31" s="504"/>
      <c r="BC31" s="504"/>
      <c r="BD31" s="504"/>
      <c r="BE31" s="504"/>
      <c r="BF31" s="504"/>
      <c r="BG31" s="504"/>
      <c r="BH31" s="504"/>
      <c r="BI31" s="504"/>
      <c r="BJ31" s="504"/>
      <c r="BK31" s="504"/>
      <c r="BL31" s="504"/>
      <c r="BM31" s="504"/>
      <c r="BN31" s="504"/>
      <c r="BO31" s="504"/>
      <c r="BP31" s="504"/>
      <c r="BQ31" s="504"/>
      <c r="BR31" s="504"/>
      <c r="BS31" s="504"/>
      <c r="BT31" s="504"/>
      <c r="BU31" s="504"/>
      <c r="BV31" s="504"/>
      <c r="BW31" s="504"/>
      <c r="BX31" s="504"/>
      <c r="BY31" s="470"/>
      <c r="BZ31" s="470"/>
      <c r="CA31" s="470"/>
      <c r="CB31" s="470"/>
      <c r="CC31" s="470"/>
      <c r="CD31" s="470"/>
      <c r="CE31" s="501"/>
      <c r="CF31" s="501"/>
      <c r="CG31" s="501"/>
      <c r="CH31" s="501"/>
      <c r="CI31" s="501"/>
      <c r="CJ31" s="501"/>
      <c r="CK31" s="501"/>
      <c r="CL31" s="501"/>
      <c r="CM31" s="501"/>
      <c r="CN31" s="501"/>
      <c r="CO31" s="501"/>
      <c r="CP31" s="501"/>
      <c r="CQ31" s="504"/>
      <c r="CR31" s="504"/>
      <c r="CS31" s="504"/>
      <c r="CT31" s="504"/>
      <c r="CU31" s="504"/>
      <c r="CV31" s="504"/>
      <c r="CW31" s="504"/>
      <c r="CX31" s="504"/>
      <c r="CY31" s="504"/>
      <c r="CZ31" s="504"/>
      <c r="DA31" s="504"/>
      <c r="DB31" s="504"/>
      <c r="DC31" s="504"/>
      <c r="DD31" s="504"/>
      <c r="DE31" s="504"/>
      <c r="DF31" s="504"/>
      <c r="DG31" s="504"/>
      <c r="DH31" s="504"/>
      <c r="DI31" s="504"/>
      <c r="DJ31" s="504"/>
      <c r="DK31" s="504"/>
      <c r="DL31" s="504"/>
      <c r="DM31" s="504"/>
      <c r="DN31" s="504"/>
      <c r="DO31" s="504"/>
      <c r="DP31" s="504"/>
      <c r="DQ31" s="504"/>
      <c r="DR31" s="504"/>
      <c r="DS31" s="504"/>
      <c r="DT31" s="505"/>
    </row>
    <row r="32" spans="1:124" ht="21" customHeight="1">
      <c r="A32" s="506"/>
      <c r="B32" s="507"/>
      <c r="C32" s="507"/>
      <c r="D32" s="507"/>
      <c r="E32" s="507"/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7"/>
      <c r="AA32" s="507"/>
      <c r="AB32" s="507"/>
      <c r="AC32" s="507"/>
      <c r="AD32" s="507"/>
      <c r="AE32" s="507"/>
      <c r="AF32" s="507"/>
      <c r="AG32" s="507"/>
      <c r="AH32" s="507"/>
      <c r="AI32" s="507"/>
      <c r="AJ32" s="499"/>
      <c r="AK32" s="499"/>
      <c r="AL32" s="499"/>
      <c r="AM32" s="499"/>
      <c r="AN32" s="499"/>
      <c r="AO32" s="507"/>
      <c r="AP32" s="507"/>
      <c r="AQ32" s="507"/>
      <c r="AR32" s="507"/>
      <c r="AS32" s="507"/>
      <c r="AT32" s="507"/>
      <c r="AU32" s="507"/>
      <c r="AV32" s="507"/>
      <c r="AW32" s="507"/>
      <c r="AX32" s="507"/>
      <c r="AY32" s="507"/>
      <c r="AZ32" s="507"/>
      <c r="BA32" s="507"/>
      <c r="BB32" s="507"/>
      <c r="BC32" s="507"/>
      <c r="BD32" s="507"/>
      <c r="BE32" s="507"/>
      <c r="BF32" s="507"/>
      <c r="BG32" s="507"/>
      <c r="BH32" s="507"/>
      <c r="BI32" s="507"/>
      <c r="BJ32" s="507"/>
      <c r="BK32" s="507"/>
      <c r="BL32" s="507"/>
      <c r="BM32" s="507"/>
      <c r="BN32" s="507"/>
      <c r="BO32" s="507"/>
      <c r="BP32" s="507"/>
      <c r="BQ32" s="507"/>
      <c r="BR32" s="507"/>
      <c r="BS32" s="507"/>
      <c r="BT32" s="507"/>
      <c r="BU32" s="507"/>
      <c r="BV32" s="507"/>
      <c r="BW32" s="507"/>
      <c r="BX32" s="507"/>
      <c r="BY32" s="470"/>
      <c r="BZ32" s="470"/>
      <c r="CA32" s="470"/>
      <c r="CB32" s="470"/>
      <c r="CC32" s="470"/>
      <c r="CD32" s="470"/>
      <c r="CE32" s="501"/>
      <c r="CF32" s="501"/>
      <c r="CG32" s="501"/>
      <c r="CH32" s="501"/>
      <c r="CI32" s="501"/>
      <c r="CJ32" s="501"/>
      <c r="CK32" s="501"/>
      <c r="CL32" s="501"/>
      <c r="CM32" s="501"/>
      <c r="CN32" s="501"/>
      <c r="CO32" s="501"/>
      <c r="CP32" s="501"/>
      <c r="CQ32" s="507"/>
      <c r="CR32" s="507"/>
      <c r="CS32" s="507"/>
      <c r="CT32" s="507"/>
      <c r="CU32" s="507"/>
      <c r="CV32" s="507"/>
      <c r="CW32" s="507"/>
      <c r="CX32" s="507"/>
      <c r="CY32" s="507"/>
      <c r="CZ32" s="507"/>
      <c r="DA32" s="507"/>
      <c r="DB32" s="507"/>
      <c r="DC32" s="507"/>
      <c r="DD32" s="507"/>
      <c r="DE32" s="507"/>
      <c r="DF32" s="507"/>
      <c r="DG32" s="507"/>
      <c r="DH32" s="507"/>
      <c r="DI32" s="507"/>
      <c r="DJ32" s="507"/>
      <c r="DK32" s="507"/>
      <c r="DL32" s="507"/>
      <c r="DM32" s="507"/>
      <c r="DN32" s="507"/>
      <c r="DO32" s="507"/>
      <c r="DP32" s="507"/>
      <c r="DQ32" s="507"/>
      <c r="DR32" s="507"/>
      <c r="DS32" s="507"/>
      <c r="DT32" s="508"/>
    </row>
    <row r="33" spans="1:125" ht="21" customHeight="1">
      <c r="A33" s="509" t="s">
        <v>102</v>
      </c>
      <c r="B33" s="510"/>
      <c r="C33" s="510"/>
      <c r="D33" s="510"/>
      <c r="E33" s="510"/>
      <c r="F33" s="510"/>
      <c r="G33" s="510"/>
      <c r="H33" s="510"/>
      <c r="I33" s="510"/>
      <c r="J33" s="510"/>
      <c r="K33" s="510"/>
      <c r="L33" s="510"/>
      <c r="M33" s="510"/>
      <c r="N33" s="510"/>
      <c r="O33" s="510"/>
      <c r="P33" s="510"/>
      <c r="Q33" s="510"/>
      <c r="R33" s="510"/>
      <c r="S33" s="510"/>
      <c r="T33" s="510"/>
      <c r="U33" s="510"/>
      <c r="V33" s="510"/>
      <c r="W33" s="510"/>
      <c r="X33" s="510"/>
      <c r="Y33" s="510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  <c r="AO33" s="510"/>
      <c r="AP33" s="510"/>
      <c r="AQ33" s="510"/>
      <c r="AR33" s="510"/>
      <c r="AS33" s="510"/>
      <c r="AT33" s="510"/>
      <c r="AU33" s="510"/>
      <c r="AV33" s="510"/>
      <c r="AW33" s="510"/>
      <c r="AX33" s="510"/>
      <c r="AY33" s="510"/>
      <c r="AZ33" s="510"/>
      <c r="BA33" s="510"/>
      <c r="BB33" s="510"/>
      <c r="BC33" s="510"/>
      <c r="BD33" s="510"/>
      <c r="BE33" s="510"/>
      <c r="BF33" s="510"/>
      <c r="BG33" s="510"/>
      <c r="BH33" s="510"/>
      <c r="BI33" s="510"/>
      <c r="BJ33" s="510"/>
      <c r="BK33" s="510"/>
      <c r="BL33" s="510"/>
      <c r="BM33" s="510"/>
      <c r="BN33" s="510"/>
      <c r="BO33" s="510"/>
      <c r="BP33" s="510"/>
      <c r="BQ33" s="510"/>
      <c r="BR33" s="510"/>
      <c r="BS33" s="510"/>
      <c r="BT33" s="510"/>
      <c r="BU33" s="510"/>
      <c r="BV33" s="510"/>
      <c r="BW33" s="510"/>
      <c r="BX33" s="510"/>
      <c r="BY33" s="510"/>
      <c r="BZ33" s="510"/>
      <c r="CA33" s="510"/>
      <c r="CB33" s="510"/>
      <c r="CC33" s="510"/>
      <c r="CD33" s="27"/>
      <c r="CE33" s="511" t="s">
        <v>839</v>
      </c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3"/>
      <c r="CQ33" s="514"/>
      <c r="CR33" s="515"/>
      <c r="CS33" s="515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5"/>
      <c r="DG33" s="515"/>
      <c r="DH33" s="515"/>
      <c r="DI33" s="515"/>
      <c r="DJ33" s="516"/>
      <c r="DK33" s="514"/>
      <c r="DL33" s="515"/>
      <c r="DM33" s="515"/>
      <c r="DN33" s="515"/>
      <c r="DO33" s="515"/>
      <c r="DP33" s="515"/>
      <c r="DQ33" s="515"/>
      <c r="DR33" s="515"/>
      <c r="DS33" s="515"/>
      <c r="DT33" s="517"/>
    </row>
    <row r="34" spans="1:125" ht="21" customHeight="1" thickBot="1">
      <c r="A34" s="518" t="s">
        <v>103</v>
      </c>
      <c r="B34" s="519"/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19"/>
      <c r="N34" s="519"/>
      <c r="O34" s="519"/>
      <c r="P34" s="519"/>
      <c r="Q34" s="519"/>
      <c r="R34" s="519"/>
      <c r="S34" s="519"/>
      <c r="T34" s="519"/>
      <c r="U34" s="519"/>
      <c r="V34" s="519"/>
      <c r="W34" s="519"/>
      <c r="X34" s="519"/>
      <c r="Y34" s="519"/>
      <c r="Z34" s="519"/>
      <c r="AA34" s="519"/>
      <c r="AB34" s="519"/>
      <c r="AC34" s="519"/>
      <c r="AD34" s="519"/>
      <c r="AE34" s="519"/>
      <c r="AF34" s="519"/>
      <c r="AG34" s="519"/>
      <c r="AH34" s="519"/>
      <c r="AI34" s="519"/>
      <c r="AJ34" s="519"/>
      <c r="AK34" s="519"/>
      <c r="AL34" s="519"/>
      <c r="AM34" s="519"/>
      <c r="AN34" s="519"/>
      <c r="AO34" s="519"/>
      <c r="AP34" s="519"/>
      <c r="AQ34" s="519"/>
      <c r="AR34" s="519"/>
      <c r="AS34" s="519"/>
      <c r="AT34" s="519"/>
      <c r="AU34" s="519"/>
      <c r="AV34" s="519"/>
      <c r="AW34" s="519"/>
      <c r="AX34" s="519"/>
      <c r="AY34" s="519"/>
      <c r="AZ34" s="519"/>
      <c r="BA34" s="519"/>
      <c r="BB34" s="519"/>
      <c r="BC34" s="519"/>
      <c r="BD34" s="519"/>
      <c r="BE34" s="519"/>
      <c r="BF34" s="519"/>
      <c r="BG34" s="519"/>
      <c r="BH34" s="519"/>
      <c r="BI34" s="519"/>
      <c r="BJ34" s="519"/>
      <c r="BK34" s="519"/>
      <c r="BL34" s="519"/>
      <c r="BM34" s="519"/>
      <c r="BN34" s="519"/>
      <c r="BO34" s="519"/>
      <c r="BP34" s="519"/>
      <c r="BQ34" s="519"/>
      <c r="BR34" s="519"/>
      <c r="BS34" s="519"/>
      <c r="BT34" s="519"/>
      <c r="BU34" s="519"/>
      <c r="BV34" s="519"/>
      <c r="BW34" s="519"/>
      <c r="BX34" s="519"/>
      <c r="BY34" s="519"/>
      <c r="BZ34" s="519"/>
      <c r="CA34" s="519"/>
      <c r="CB34" s="519"/>
      <c r="CC34" s="519"/>
      <c r="CD34" s="519"/>
      <c r="CE34" s="519"/>
      <c r="CF34" s="519"/>
      <c r="CG34" s="519"/>
      <c r="CH34" s="519"/>
      <c r="CI34" s="519"/>
      <c r="CJ34" s="519"/>
      <c r="CK34" s="519"/>
      <c r="CL34" s="519"/>
      <c r="CM34" s="519"/>
      <c r="CN34" s="519"/>
      <c r="CO34" s="519"/>
      <c r="CP34" s="519"/>
      <c r="CQ34" s="519"/>
      <c r="CR34" s="519"/>
      <c r="CS34" s="519"/>
      <c r="CT34" s="519"/>
      <c r="CU34" s="519"/>
      <c r="CV34" s="519"/>
      <c r="CW34" s="519"/>
      <c r="CX34" s="519"/>
      <c r="CY34" s="519"/>
      <c r="CZ34" s="519"/>
      <c r="DA34" s="519"/>
      <c r="DB34" s="519"/>
      <c r="DC34" s="519"/>
      <c r="DD34" s="519"/>
      <c r="DE34" s="519"/>
      <c r="DF34" s="519"/>
      <c r="DG34" s="519"/>
      <c r="DH34" s="519"/>
      <c r="DI34" s="519"/>
      <c r="DJ34" s="519"/>
      <c r="DK34" s="519"/>
      <c r="DL34" s="519"/>
      <c r="DM34" s="519"/>
      <c r="DN34" s="519"/>
      <c r="DO34" s="519"/>
      <c r="DP34" s="519"/>
      <c r="DQ34" s="519"/>
      <c r="DR34" s="519"/>
      <c r="DS34" s="519"/>
      <c r="DT34" s="520"/>
    </row>
    <row r="35" spans="1:125" ht="21" customHeight="1">
      <c r="A35" s="521" t="s">
        <v>104</v>
      </c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63"/>
      <c r="O35" s="463"/>
      <c r="P35" s="463"/>
      <c r="Q35" s="522" t="s">
        <v>105</v>
      </c>
      <c r="R35" s="522"/>
      <c r="S35" s="522"/>
      <c r="T35" s="522"/>
      <c r="U35" s="522"/>
      <c r="V35" s="522"/>
      <c r="W35" s="522"/>
      <c r="X35" s="522"/>
      <c r="Y35" s="522"/>
      <c r="Z35" s="522"/>
      <c r="AA35" s="522"/>
      <c r="AB35" s="522"/>
      <c r="AC35" s="522"/>
      <c r="AD35" s="522"/>
      <c r="AE35" s="522"/>
      <c r="AF35" s="522"/>
      <c r="AG35" s="522"/>
      <c r="AH35" s="522"/>
      <c r="AI35" s="522"/>
      <c r="AJ35" s="522"/>
      <c r="AK35" s="522"/>
      <c r="AL35" s="522"/>
      <c r="AM35" s="522"/>
      <c r="AN35" s="522"/>
      <c r="AO35" s="522"/>
      <c r="AP35" s="522"/>
      <c r="AQ35" s="522"/>
      <c r="AR35" s="522"/>
      <c r="AS35" s="522"/>
      <c r="AT35" s="522"/>
      <c r="AU35" s="522"/>
      <c r="AV35" s="522"/>
      <c r="AW35" s="522"/>
      <c r="AX35" s="522"/>
      <c r="AY35" s="522"/>
      <c r="AZ35" s="522"/>
      <c r="BA35" s="522"/>
      <c r="BB35" s="522"/>
      <c r="BC35" s="522"/>
      <c r="BD35" s="522"/>
      <c r="BE35" s="522"/>
      <c r="BF35" s="522"/>
      <c r="BG35" s="522"/>
      <c r="BH35" s="522"/>
      <c r="BI35" s="522"/>
      <c r="BJ35" s="522"/>
      <c r="BK35" s="522"/>
      <c r="BL35" s="522"/>
      <c r="BM35" s="522"/>
      <c r="BN35" s="522"/>
      <c r="BO35" s="522"/>
      <c r="BP35" s="522"/>
      <c r="BQ35" s="522"/>
      <c r="BR35" s="522"/>
      <c r="BS35" s="522"/>
      <c r="BT35" s="522"/>
      <c r="BU35" s="522"/>
      <c r="BV35" s="522"/>
      <c r="BW35" s="522"/>
      <c r="BX35" s="522"/>
      <c r="BY35" s="522"/>
      <c r="BZ35" s="522"/>
      <c r="CA35" s="522"/>
      <c r="CB35" s="522"/>
      <c r="CC35" s="522"/>
      <c r="CD35" s="522"/>
      <c r="CE35" s="522"/>
      <c r="CF35" s="522"/>
      <c r="CG35" s="522"/>
      <c r="CH35" s="522"/>
      <c r="CI35" s="522"/>
      <c r="CJ35" s="522"/>
      <c r="CK35" s="523"/>
      <c r="CL35" s="29"/>
      <c r="CM35" s="528" t="s">
        <v>206</v>
      </c>
      <c r="CN35" s="529"/>
      <c r="CO35" s="529"/>
      <c r="CP35" s="529"/>
      <c r="CQ35" s="529"/>
      <c r="CR35" s="542">
        <f>+'PAGE 2'!DU396</f>
        <v>1606934.9430000002</v>
      </c>
      <c r="CS35" s="542"/>
      <c r="CT35" s="542"/>
      <c r="CU35" s="542"/>
      <c r="CV35" s="542"/>
      <c r="CW35" s="542"/>
      <c r="CX35" s="542"/>
      <c r="CY35" s="542"/>
      <c r="CZ35" s="542"/>
      <c r="DA35" s="542"/>
      <c r="DB35" s="542"/>
      <c r="DC35" s="542"/>
      <c r="DD35" s="542"/>
      <c r="DE35" s="542"/>
      <c r="DF35" s="542"/>
      <c r="DG35" s="542"/>
      <c r="DH35" s="542"/>
      <c r="DI35" s="542"/>
      <c r="DJ35" s="542"/>
      <c r="DK35" s="542"/>
      <c r="DL35" s="542"/>
      <c r="DM35" s="542"/>
      <c r="DN35" s="542"/>
      <c r="DO35" s="542"/>
      <c r="DP35" s="542"/>
      <c r="DQ35" s="542"/>
      <c r="DR35" s="542"/>
      <c r="DS35" s="542"/>
      <c r="DT35" s="543"/>
      <c r="DU35" s="48"/>
    </row>
    <row r="36" spans="1:125" ht="21" customHeight="1">
      <c r="A36" s="524" t="s">
        <v>106</v>
      </c>
      <c r="B36" s="525"/>
      <c r="C36" s="525"/>
      <c r="D36" s="525"/>
      <c r="E36" s="525"/>
      <c r="F36" s="525"/>
      <c r="G36" s="525"/>
      <c r="H36" s="525"/>
      <c r="I36" s="525"/>
      <c r="J36" s="525"/>
      <c r="K36" s="525"/>
      <c r="L36" s="525"/>
      <c r="M36" s="525"/>
      <c r="N36" s="525"/>
      <c r="O36" s="525"/>
      <c r="P36" s="525"/>
      <c r="Q36" s="526" t="s">
        <v>107</v>
      </c>
      <c r="R36" s="526"/>
      <c r="S36" s="526"/>
      <c r="T36" s="526"/>
      <c r="U36" s="526"/>
      <c r="V36" s="526"/>
      <c r="W36" s="526"/>
      <c r="X36" s="526"/>
      <c r="Y36" s="526"/>
      <c r="Z36" s="526"/>
      <c r="AA36" s="526"/>
      <c r="AB36" s="526"/>
      <c r="AC36" s="526"/>
      <c r="AD36" s="526"/>
      <c r="AE36" s="526"/>
      <c r="AF36" s="526"/>
      <c r="AG36" s="526"/>
      <c r="AH36" s="526"/>
      <c r="AI36" s="526"/>
      <c r="AJ36" s="526"/>
      <c r="AK36" s="526"/>
      <c r="AL36" s="526"/>
      <c r="AM36" s="526"/>
      <c r="AN36" s="526"/>
      <c r="AO36" s="526"/>
      <c r="AP36" s="526"/>
      <c r="AQ36" s="526"/>
      <c r="AR36" s="526"/>
      <c r="AS36" s="526"/>
      <c r="AT36" s="526"/>
      <c r="AU36" s="526"/>
      <c r="AV36" s="526"/>
      <c r="AW36" s="526"/>
      <c r="AX36" s="526"/>
      <c r="AY36" s="526"/>
      <c r="AZ36" s="526"/>
      <c r="BA36" s="526"/>
      <c r="BB36" s="526"/>
      <c r="BC36" s="526"/>
      <c r="BD36" s="526"/>
      <c r="BE36" s="526"/>
      <c r="BF36" s="526"/>
      <c r="BG36" s="526"/>
      <c r="BH36" s="526"/>
      <c r="BI36" s="526"/>
      <c r="BJ36" s="526"/>
      <c r="BK36" s="526"/>
      <c r="BL36" s="526"/>
      <c r="BM36" s="526"/>
      <c r="BN36" s="526"/>
      <c r="BO36" s="526"/>
      <c r="BP36" s="526"/>
      <c r="BQ36" s="526"/>
      <c r="BR36" s="526"/>
      <c r="BS36" s="526"/>
      <c r="BT36" s="526"/>
      <c r="BU36" s="526"/>
      <c r="BV36" s="526"/>
      <c r="BW36" s="526"/>
      <c r="BX36" s="526"/>
      <c r="BY36" s="526"/>
      <c r="BZ36" s="526"/>
      <c r="CA36" s="526"/>
      <c r="CB36" s="526"/>
      <c r="CC36" s="526"/>
      <c r="CD36" s="526"/>
      <c r="CE36" s="526"/>
      <c r="CF36" s="526"/>
      <c r="CG36" s="526"/>
      <c r="CH36" s="526"/>
      <c r="CI36" s="526"/>
      <c r="CJ36" s="526"/>
      <c r="CK36" s="527"/>
      <c r="CL36" s="30"/>
      <c r="CM36" s="530" t="s">
        <v>206</v>
      </c>
      <c r="CN36" s="531"/>
      <c r="CO36" s="531"/>
      <c r="CP36" s="531"/>
      <c r="CQ36" s="531"/>
      <c r="CR36" s="540">
        <f>+'PAGE 3'!DU21</f>
        <v>73000</v>
      </c>
      <c r="CS36" s="540"/>
      <c r="CT36" s="540"/>
      <c r="CU36" s="540"/>
      <c r="CV36" s="540"/>
      <c r="CW36" s="540"/>
      <c r="CX36" s="540"/>
      <c r="CY36" s="540"/>
      <c r="CZ36" s="540"/>
      <c r="DA36" s="540"/>
      <c r="DB36" s="540"/>
      <c r="DC36" s="540"/>
      <c r="DD36" s="540"/>
      <c r="DE36" s="540"/>
      <c r="DF36" s="540"/>
      <c r="DG36" s="540"/>
      <c r="DH36" s="540"/>
      <c r="DI36" s="540"/>
      <c r="DJ36" s="540"/>
      <c r="DK36" s="540"/>
      <c r="DL36" s="540"/>
      <c r="DM36" s="540"/>
      <c r="DN36" s="540"/>
      <c r="DO36" s="540"/>
      <c r="DP36" s="540"/>
      <c r="DQ36" s="540"/>
      <c r="DR36" s="540"/>
      <c r="DS36" s="540"/>
      <c r="DT36" s="541"/>
    </row>
    <row r="37" spans="1:125" ht="21" customHeight="1" thickBot="1">
      <c r="A37" s="524" t="s">
        <v>108</v>
      </c>
      <c r="B37" s="525"/>
      <c r="C37" s="525"/>
      <c r="D37" s="525"/>
      <c r="E37" s="525"/>
      <c r="F37" s="525"/>
      <c r="G37" s="525"/>
      <c r="H37" s="525"/>
      <c r="I37" s="525"/>
      <c r="J37" s="525"/>
      <c r="K37" s="525"/>
      <c r="L37" s="525"/>
      <c r="M37" s="525"/>
      <c r="N37" s="525"/>
      <c r="O37" s="525"/>
      <c r="P37" s="525"/>
      <c r="Q37" s="526" t="s">
        <v>109</v>
      </c>
      <c r="R37" s="526"/>
      <c r="S37" s="526"/>
      <c r="T37" s="526"/>
      <c r="U37" s="526"/>
      <c r="V37" s="526"/>
      <c r="W37" s="526"/>
      <c r="X37" s="526"/>
      <c r="Y37" s="526"/>
      <c r="Z37" s="526"/>
      <c r="AA37" s="526"/>
      <c r="AB37" s="526"/>
      <c r="AC37" s="526"/>
      <c r="AD37" s="526"/>
      <c r="AE37" s="526"/>
      <c r="AF37" s="526"/>
      <c r="AG37" s="526"/>
      <c r="AH37" s="526"/>
      <c r="AI37" s="526"/>
      <c r="AJ37" s="526"/>
      <c r="AK37" s="526"/>
      <c r="AL37" s="526"/>
      <c r="AM37" s="526"/>
      <c r="AN37" s="526"/>
      <c r="AO37" s="526"/>
      <c r="AP37" s="526"/>
      <c r="AQ37" s="526"/>
      <c r="AR37" s="526"/>
      <c r="AS37" s="526"/>
      <c r="AT37" s="526"/>
      <c r="AU37" s="526"/>
      <c r="AV37" s="526"/>
      <c r="AW37" s="526"/>
      <c r="AX37" s="526"/>
      <c r="AY37" s="526"/>
      <c r="AZ37" s="526"/>
      <c r="BA37" s="526"/>
      <c r="BB37" s="526"/>
      <c r="BC37" s="526"/>
      <c r="BD37" s="526"/>
      <c r="BE37" s="526"/>
      <c r="BF37" s="526"/>
      <c r="BG37" s="526"/>
      <c r="BH37" s="526"/>
      <c r="BI37" s="526"/>
      <c r="BJ37" s="526"/>
      <c r="BK37" s="526"/>
      <c r="BL37" s="526"/>
      <c r="BM37" s="526"/>
      <c r="BN37" s="526"/>
      <c r="BO37" s="526"/>
      <c r="BP37" s="526"/>
      <c r="BQ37" s="526"/>
      <c r="BR37" s="526"/>
      <c r="BS37" s="526"/>
      <c r="BT37" s="526"/>
      <c r="BU37" s="526"/>
      <c r="BV37" s="526"/>
      <c r="BW37" s="526"/>
      <c r="BX37" s="526"/>
      <c r="BY37" s="526"/>
      <c r="BZ37" s="526"/>
      <c r="CA37" s="526"/>
      <c r="CB37" s="526"/>
      <c r="CC37" s="526"/>
      <c r="CD37" s="526"/>
      <c r="CE37" s="526"/>
      <c r="CF37" s="526"/>
      <c r="CG37" s="526"/>
      <c r="CH37" s="526"/>
      <c r="CI37" s="526"/>
      <c r="CJ37" s="526"/>
      <c r="CK37" s="527"/>
      <c r="CL37" s="30"/>
      <c r="CM37" s="532" t="s">
        <v>206</v>
      </c>
      <c r="CN37" s="533"/>
      <c r="CO37" s="533"/>
      <c r="CP37" s="533"/>
      <c r="CQ37" s="533"/>
      <c r="CR37" s="538" t="s">
        <v>91</v>
      </c>
      <c r="CS37" s="538"/>
      <c r="CT37" s="538"/>
      <c r="CU37" s="538"/>
      <c r="CV37" s="538"/>
      <c r="CW37" s="538"/>
      <c r="CX37" s="538"/>
      <c r="CY37" s="538"/>
      <c r="CZ37" s="538"/>
      <c r="DA37" s="538"/>
      <c r="DB37" s="538"/>
      <c r="DC37" s="538"/>
      <c r="DD37" s="538"/>
      <c r="DE37" s="538"/>
      <c r="DF37" s="538"/>
      <c r="DG37" s="538"/>
      <c r="DH37" s="538"/>
      <c r="DI37" s="538"/>
      <c r="DJ37" s="538"/>
      <c r="DK37" s="538"/>
      <c r="DL37" s="538"/>
      <c r="DM37" s="538"/>
      <c r="DN37" s="538"/>
      <c r="DO37" s="538"/>
      <c r="DP37" s="538"/>
      <c r="DQ37" s="538"/>
      <c r="DR37" s="538"/>
      <c r="DS37" s="538"/>
      <c r="DT37" s="539"/>
    </row>
    <row r="38" spans="1:125" ht="36.9" customHeight="1" thickBot="1">
      <c r="A38" s="544" t="s">
        <v>110</v>
      </c>
      <c r="B38" s="545"/>
      <c r="C38" s="545"/>
      <c r="D38" s="545"/>
      <c r="E38" s="545"/>
      <c r="F38" s="545"/>
      <c r="G38" s="545"/>
      <c r="H38" s="545"/>
      <c r="I38" s="545"/>
      <c r="J38" s="545"/>
      <c r="K38" s="545"/>
      <c r="L38" s="545"/>
      <c r="M38" s="545"/>
      <c r="N38" s="545"/>
      <c r="O38" s="545"/>
      <c r="P38" s="545"/>
      <c r="Q38" s="545"/>
      <c r="R38" s="545"/>
      <c r="S38" s="545"/>
      <c r="T38" s="545"/>
      <c r="U38" s="545"/>
      <c r="V38" s="545"/>
      <c r="W38" s="545"/>
      <c r="X38" s="545"/>
      <c r="Y38" s="545"/>
      <c r="Z38" s="545"/>
      <c r="AA38" s="545"/>
      <c r="AB38" s="545"/>
      <c r="AC38" s="545"/>
      <c r="AD38" s="545"/>
      <c r="AE38" s="545"/>
      <c r="AF38" s="545"/>
      <c r="AG38" s="545"/>
      <c r="AH38" s="545"/>
      <c r="AI38" s="545"/>
      <c r="AJ38" s="545"/>
      <c r="AK38" s="545"/>
      <c r="AL38" s="545"/>
      <c r="AM38" s="545"/>
      <c r="AN38" s="545"/>
      <c r="AO38" s="545"/>
      <c r="AP38" s="545"/>
      <c r="AQ38" s="545"/>
      <c r="AR38" s="545"/>
      <c r="AS38" s="545"/>
      <c r="AT38" s="545"/>
      <c r="AU38" s="545"/>
      <c r="AV38" s="545"/>
      <c r="AW38" s="545"/>
      <c r="AX38" s="545"/>
      <c r="AY38" s="545"/>
      <c r="AZ38" s="545"/>
      <c r="BA38" s="545"/>
      <c r="BB38" s="545"/>
      <c r="BC38" s="545"/>
      <c r="BD38" s="545"/>
      <c r="BE38" s="545"/>
      <c r="BF38" s="545"/>
      <c r="BG38" s="545"/>
      <c r="BH38" s="545"/>
      <c r="BI38" s="545"/>
      <c r="BJ38" s="545"/>
      <c r="BK38" s="545"/>
      <c r="BL38" s="545"/>
      <c r="BM38" s="545"/>
      <c r="BN38" s="545"/>
      <c r="BO38" s="545"/>
      <c r="BP38" s="545"/>
      <c r="BQ38" s="545"/>
      <c r="BR38" s="545"/>
      <c r="BS38" s="545"/>
      <c r="BT38" s="545"/>
      <c r="BU38" s="545"/>
      <c r="BV38" s="545"/>
      <c r="BW38" s="545"/>
      <c r="BX38" s="545"/>
      <c r="BY38" s="545"/>
      <c r="BZ38" s="545"/>
      <c r="CA38" s="545"/>
      <c r="CB38" s="545"/>
      <c r="CC38" s="545"/>
      <c r="CD38" s="545"/>
      <c r="CE38" s="545"/>
      <c r="CF38" s="545"/>
      <c r="CG38" s="545"/>
      <c r="CH38" s="545"/>
      <c r="CI38" s="545"/>
      <c r="CJ38" s="545"/>
      <c r="CK38" s="546"/>
      <c r="CL38" s="31"/>
      <c r="CM38" s="534" t="s">
        <v>206</v>
      </c>
      <c r="CN38" s="535"/>
      <c r="CO38" s="535"/>
      <c r="CP38" s="535"/>
      <c r="CQ38" s="535"/>
      <c r="CR38" s="536">
        <f>SUM(CR35:CR37)</f>
        <v>1679934.9430000002</v>
      </c>
      <c r="CS38" s="536"/>
      <c r="CT38" s="536"/>
      <c r="CU38" s="536"/>
      <c r="CV38" s="536"/>
      <c r="CW38" s="536"/>
      <c r="CX38" s="536"/>
      <c r="CY38" s="536"/>
      <c r="CZ38" s="536"/>
      <c r="DA38" s="536"/>
      <c r="DB38" s="536"/>
      <c r="DC38" s="536"/>
      <c r="DD38" s="536"/>
      <c r="DE38" s="536"/>
      <c r="DF38" s="536"/>
      <c r="DG38" s="536"/>
      <c r="DH38" s="536"/>
      <c r="DI38" s="536"/>
      <c r="DJ38" s="536"/>
      <c r="DK38" s="536"/>
      <c r="DL38" s="536"/>
      <c r="DM38" s="536"/>
      <c r="DN38" s="536"/>
      <c r="DO38" s="536"/>
      <c r="DP38" s="536"/>
      <c r="DQ38" s="536"/>
      <c r="DR38" s="536"/>
      <c r="DS38" s="536"/>
      <c r="DT38" s="537"/>
      <c r="DU38" s="51">
        <f>+CR38</f>
        <v>1679934.9430000002</v>
      </c>
    </row>
    <row r="39" spans="1:125" ht="3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324" t="s">
        <v>111</v>
      </c>
      <c r="DO39" s="324"/>
      <c r="DP39" s="324"/>
      <c r="DQ39" s="324"/>
      <c r="DR39" s="324"/>
      <c r="DS39" s="324"/>
      <c r="DT39" s="25"/>
    </row>
  </sheetData>
  <mergeCells count="267">
    <mergeCell ref="DN39:DS39"/>
    <mergeCell ref="A33:CC33"/>
    <mergeCell ref="CE33:CP33"/>
    <mergeCell ref="CQ33:DJ33"/>
    <mergeCell ref="DK33:DT33"/>
    <mergeCell ref="A34:DT34"/>
    <mergeCell ref="A35:P35"/>
    <mergeCell ref="Q35:CK35"/>
    <mergeCell ref="A36:P36"/>
    <mergeCell ref="Q36:CK36"/>
    <mergeCell ref="CM35:CQ35"/>
    <mergeCell ref="CM36:CQ36"/>
    <mergeCell ref="CM37:CQ37"/>
    <mergeCell ref="CM38:CQ38"/>
    <mergeCell ref="CR38:DT38"/>
    <mergeCell ref="CR37:DT37"/>
    <mergeCell ref="CR36:DT36"/>
    <mergeCell ref="CR35:DT35"/>
    <mergeCell ref="A37:P37"/>
    <mergeCell ref="Q37:CK37"/>
    <mergeCell ref="A38:CK38"/>
    <mergeCell ref="A32:P32"/>
    <mergeCell ref="Q32:AC32"/>
    <mergeCell ref="AD32:AI32"/>
    <mergeCell ref="AJ32:AN32"/>
    <mergeCell ref="AO32:BX32"/>
    <mergeCell ref="BY32:CD32"/>
    <mergeCell ref="CE32:CP32"/>
    <mergeCell ref="CQ32:DJ32"/>
    <mergeCell ref="DK32:DT32"/>
    <mergeCell ref="A31:P31"/>
    <mergeCell ref="Q31:AC31"/>
    <mergeCell ref="AD31:AI31"/>
    <mergeCell ref="AJ31:AN31"/>
    <mergeCell ref="AO31:BX31"/>
    <mergeCell ref="BY31:CD31"/>
    <mergeCell ref="CE31:CP31"/>
    <mergeCell ref="CQ31:DJ31"/>
    <mergeCell ref="DK31:DT31"/>
    <mergeCell ref="A30:P30"/>
    <mergeCell ref="Q30:AC30"/>
    <mergeCell ref="AD30:AI30"/>
    <mergeCell ref="AJ30:AN30"/>
    <mergeCell ref="AO30:BX30"/>
    <mergeCell ref="BY30:CD30"/>
    <mergeCell ref="CE30:CP30"/>
    <mergeCell ref="CQ30:DJ30"/>
    <mergeCell ref="DK30:DT30"/>
    <mergeCell ref="A29:P29"/>
    <mergeCell ref="Q29:AC29"/>
    <mergeCell ref="AD29:AI29"/>
    <mergeCell ref="AJ29:AN29"/>
    <mergeCell ref="AO29:BX29"/>
    <mergeCell ref="BY29:CD29"/>
    <mergeCell ref="CE29:CP29"/>
    <mergeCell ref="CQ29:DJ29"/>
    <mergeCell ref="DK29:DT29"/>
    <mergeCell ref="A28:P28"/>
    <mergeCell ref="Q28:AC28"/>
    <mergeCell ref="AD28:AI28"/>
    <mergeCell ref="AJ28:AN28"/>
    <mergeCell ref="AO28:BX28"/>
    <mergeCell ref="BY28:CD28"/>
    <mergeCell ref="CE28:CP28"/>
    <mergeCell ref="CQ28:DJ28"/>
    <mergeCell ref="DK28:DT28"/>
    <mergeCell ref="A27:P27"/>
    <mergeCell ref="Q27:AC27"/>
    <mergeCell ref="AD27:AI27"/>
    <mergeCell ref="AJ27:AN27"/>
    <mergeCell ref="AO27:BX27"/>
    <mergeCell ref="BY27:CD27"/>
    <mergeCell ref="CE27:CP27"/>
    <mergeCell ref="CQ27:DJ27"/>
    <mergeCell ref="DK27:DT27"/>
    <mergeCell ref="A26:P26"/>
    <mergeCell ref="Q26:AC26"/>
    <mergeCell ref="AD26:AI26"/>
    <mergeCell ref="AJ26:AN26"/>
    <mergeCell ref="AO26:BX26"/>
    <mergeCell ref="BY26:CD26"/>
    <mergeCell ref="CE26:CP26"/>
    <mergeCell ref="CQ26:DJ26"/>
    <mergeCell ref="DK26:DT26"/>
    <mergeCell ref="A25:P25"/>
    <mergeCell ref="Q25:AC25"/>
    <mergeCell ref="AD25:AI25"/>
    <mergeCell ref="AJ25:AN25"/>
    <mergeCell ref="AO25:BX25"/>
    <mergeCell ref="BY25:CD25"/>
    <mergeCell ref="CE25:CP25"/>
    <mergeCell ref="CQ25:DJ25"/>
    <mergeCell ref="DK25:DT25"/>
    <mergeCell ref="A24:P24"/>
    <mergeCell ref="Q24:AC24"/>
    <mergeCell ref="AD24:AI24"/>
    <mergeCell ref="AJ24:AN24"/>
    <mergeCell ref="AO24:BX24"/>
    <mergeCell ref="BY24:CD24"/>
    <mergeCell ref="CE24:CP24"/>
    <mergeCell ref="CQ24:DJ24"/>
    <mergeCell ref="DK24:DT24"/>
    <mergeCell ref="A23:P23"/>
    <mergeCell ref="Q23:AC23"/>
    <mergeCell ref="AD23:AI23"/>
    <mergeCell ref="AJ23:AN23"/>
    <mergeCell ref="AO23:BX23"/>
    <mergeCell ref="BY23:CD23"/>
    <mergeCell ref="CE23:CP23"/>
    <mergeCell ref="CQ23:DJ23"/>
    <mergeCell ref="DK23:DT23"/>
    <mergeCell ref="A22:P22"/>
    <mergeCell ref="Q22:AC22"/>
    <mergeCell ref="AD22:AI22"/>
    <mergeCell ref="AJ22:AN22"/>
    <mergeCell ref="AO22:BX22"/>
    <mergeCell ref="BY22:CD22"/>
    <mergeCell ref="CE22:CP22"/>
    <mergeCell ref="CQ22:DJ22"/>
    <mergeCell ref="DK22:DT22"/>
    <mergeCell ref="A21:P21"/>
    <mergeCell ref="Q21:AC21"/>
    <mergeCell ref="AD21:AI21"/>
    <mergeCell ref="AJ21:AN21"/>
    <mergeCell ref="AO21:BX21"/>
    <mergeCell ref="BY21:CD21"/>
    <mergeCell ref="CE21:CP21"/>
    <mergeCell ref="CQ21:DJ21"/>
    <mergeCell ref="DK21:DT21"/>
    <mergeCell ref="A20:P20"/>
    <mergeCell ref="Q20:AC20"/>
    <mergeCell ref="AD20:AI20"/>
    <mergeCell ref="AJ20:AN20"/>
    <mergeCell ref="AO20:BX20"/>
    <mergeCell ref="BY20:CD20"/>
    <mergeCell ref="CE20:CP20"/>
    <mergeCell ref="CQ20:DJ20"/>
    <mergeCell ref="DK20:DT20"/>
    <mergeCell ref="A19:P19"/>
    <mergeCell ref="Q19:AC19"/>
    <mergeCell ref="AD19:AI19"/>
    <mergeCell ref="AJ19:AN19"/>
    <mergeCell ref="AO19:BX19"/>
    <mergeCell ref="BY19:CD19"/>
    <mergeCell ref="CE19:CP19"/>
    <mergeCell ref="CQ19:DJ19"/>
    <mergeCell ref="DK19:DT19"/>
    <mergeCell ref="A18:P18"/>
    <mergeCell ref="Q18:AC18"/>
    <mergeCell ref="AD18:AI18"/>
    <mergeCell ref="AJ18:AN18"/>
    <mergeCell ref="AO18:BX18"/>
    <mergeCell ref="BY18:CD18"/>
    <mergeCell ref="CE18:CP18"/>
    <mergeCell ref="CQ18:DJ18"/>
    <mergeCell ref="DK18:DT18"/>
    <mergeCell ref="A17:P17"/>
    <mergeCell ref="Q17:AC17"/>
    <mergeCell ref="AD17:AI17"/>
    <mergeCell ref="AJ17:AN17"/>
    <mergeCell ref="AO17:BX17"/>
    <mergeCell ref="BY17:CD17"/>
    <mergeCell ref="CE17:CP17"/>
    <mergeCell ref="CQ17:DJ17"/>
    <mergeCell ref="DK17:DT17"/>
    <mergeCell ref="A16:P16"/>
    <mergeCell ref="Q16:AC16"/>
    <mergeCell ref="AD16:AI16"/>
    <mergeCell ref="AJ16:AN16"/>
    <mergeCell ref="AO16:BX16"/>
    <mergeCell ref="BY16:CD16"/>
    <mergeCell ref="CE16:CP16"/>
    <mergeCell ref="CQ16:DJ16"/>
    <mergeCell ref="DK16:DT16"/>
    <mergeCell ref="A15:P15"/>
    <mergeCell ref="Q15:AC15"/>
    <mergeCell ref="AD15:AI15"/>
    <mergeCell ref="AJ15:AN15"/>
    <mergeCell ref="AO15:BX15"/>
    <mergeCell ref="BY15:CD15"/>
    <mergeCell ref="CE15:CP15"/>
    <mergeCell ref="CQ15:DJ15"/>
    <mergeCell ref="DK15:DT15"/>
    <mergeCell ref="A14:P14"/>
    <mergeCell ref="Q14:AC14"/>
    <mergeCell ref="AD14:AI14"/>
    <mergeCell ref="AJ14:AN14"/>
    <mergeCell ref="AO14:BX14"/>
    <mergeCell ref="BY14:CD14"/>
    <mergeCell ref="CE14:CP14"/>
    <mergeCell ref="CQ14:DJ14"/>
    <mergeCell ref="DK14:DT14"/>
    <mergeCell ref="A13:P13"/>
    <mergeCell ref="Q13:AC13"/>
    <mergeCell ref="AD13:AI13"/>
    <mergeCell ref="AJ13:AN13"/>
    <mergeCell ref="AO13:BX13"/>
    <mergeCell ref="BY13:CD13"/>
    <mergeCell ref="CE13:CP13"/>
    <mergeCell ref="CQ13:DJ13"/>
    <mergeCell ref="DK13:DT13"/>
    <mergeCell ref="A12:P12"/>
    <mergeCell ref="Q12:AC12"/>
    <mergeCell ref="AD12:AI12"/>
    <mergeCell ref="AJ12:AN12"/>
    <mergeCell ref="AO12:BX12"/>
    <mergeCell ref="BY12:CD12"/>
    <mergeCell ref="CE12:CP12"/>
    <mergeCell ref="CQ12:DJ12"/>
    <mergeCell ref="DK12:DT12"/>
    <mergeCell ref="A11:P11"/>
    <mergeCell ref="Q11:AC11"/>
    <mergeCell ref="AD11:AI11"/>
    <mergeCell ref="AJ11:AN11"/>
    <mergeCell ref="AO11:BX11"/>
    <mergeCell ref="BY11:CD11"/>
    <mergeCell ref="CE11:CP11"/>
    <mergeCell ref="CQ11:DJ11"/>
    <mergeCell ref="DK11:DT11"/>
    <mergeCell ref="A10:P10"/>
    <mergeCell ref="Q10:AC10"/>
    <mergeCell ref="AD10:AI10"/>
    <mergeCell ref="AJ10:AN10"/>
    <mergeCell ref="AO10:BX10"/>
    <mergeCell ref="BY10:CD10"/>
    <mergeCell ref="CE10:CP10"/>
    <mergeCell ref="CQ10:DJ10"/>
    <mergeCell ref="DK10:DT10"/>
    <mergeCell ref="A9:P9"/>
    <mergeCell ref="Q9:AC9"/>
    <mergeCell ref="AD9:AI9"/>
    <mergeCell ref="AJ9:AN9"/>
    <mergeCell ref="AO9:BX9"/>
    <mergeCell ref="BY9:CD9"/>
    <mergeCell ref="CE9:CP9"/>
    <mergeCell ref="CQ9:DJ9"/>
    <mergeCell ref="DK9:DT9"/>
    <mergeCell ref="A8:P8"/>
    <mergeCell ref="Q8:AC8"/>
    <mergeCell ref="AD8:AI8"/>
    <mergeCell ref="AJ8:AN8"/>
    <mergeCell ref="AO8:BX8"/>
    <mergeCell ref="BY8:CD8"/>
    <mergeCell ref="CE8:CP8"/>
    <mergeCell ref="CQ8:DJ8"/>
    <mergeCell ref="DK8:DT8"/>
    <mergeCell ref="DH3:DL3"/>
    <mergeCell ref="DM3:DT3"/>
    <mergeCell ref="A5:CQ5"/>
    <mergeCell ref="A7:P7"/>
    <mergeCell ref="Q7:AC7"/>
    <mergeCell ref="AD7:AI7"/>
    <mergeCell ref="AJ7:AN7"/>
    <mergeCell ref="AO7:BX7"/>
    <mergeCell ref="BY7:CD7"/>
    <mergeCell ref="CE7:CP7"/>
    <mergeCell ref="CQ7:DJ7"/>
    <mergeCell ref="DK7:DT7"/>
    <mergeCell ref="A2:AF2"/>
    <mergeCell ref="A3:E3"/>
    <mergeCell ref="G3:AF3"/>
    <mergeCell ref="AG3:AL3"/>
    <mergeCell ref="AN3:BI3"/>
    <mergeCell ref="BU3:BZ3"/>
    <mergeCell ref="CA3:CG3"/>
    <mergeCell ref="CH3:CM3"/>
    <mergeCell ref="CN3:CT3"/>
  </mergeCells>
  <printOptions horizontalCentered="1"/>
  <pageMargins left="0.8" right="0.2" top="0.2" bottom="0.1" header="0.3" footer="0.3"/>
  <pageSetup paperSize="5" scale="74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57"/>
  <sheetViews>
    <sheetView topLeftCell="A19" zoomScale="115" zoomScaleNormal="115" workbookViewId="0">
      <selection activeCell="BM31" sqref="BM31:BZ31"/>
    </sheetView>
  </sheetViews>
  <sheetFormatPr defaultColWidth="9" defaultRowHeight="14.4"/>
  <cols>
    <col min="1" max="1" width="2.6640625" customWidth="1"/>
    <col min="2" max="53" width="1.6640625" customWidth="1"/>
    <col min="54" max="54" width="1.88671875" customWidth="1"/>
    <col min="55" max="78" width="1.6640625" customWidth="1"/>
    <col min="79" max="79" width="11.109375" bestFit="1" customWidth="1"/>
  </cols>
  <sheetData>
    <row r="1" spans="1:79" ht="8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9" ht="20.100000000000001" customHeight="1">
      <c r="A2" s="485" t="s">
        <v>112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9" ht="20.100000000000001" customHeight="1">
      <c r="A3" s="1"/>
      <c r="B3" s="547" t="s">
        <v>4</v>
      </c>
      <c r="C3" s="548"/>
      <c r="D3" s="548"/>
      <c r="E3" s="548"/>
      <c r="F3" s="548"/>
      <c r="G3" s="6"/>
      <c r="H3" s="660" t="s">
        <v>197</v>
      </c>
      <c r="I3" s="660"/>
      <c r="J3" s="660"/>
      <c r="K3" s="660"/>
      <c r="L3" s="660"/>
      <c r="M3" s="660"/>
      <c r="N3" s="660"/>
      <c r="O3" s="660"/>
      <c r="P3" s="660"/>
      <c r="Q3" s="660"/>
      <c r="R3" s="660"/>
      <c r="S3" s="660"/>
      <c r="T3" s="660"/>
      <c r="U3" s="660"/>
      <c r="V3" s="660"/>
      <c r="W3" s="660"/>
      <c r="X3" s="660"/>
      <c r="Y3" s="660"/>
      <c r="Z3" s="661"/>
      <c r="AA3" s="547" t="s">
        <v>5</v>
      </c>
      <c r="AB3" s="548"/>
      <c r="AC3" s="548"/>
      <c r="AD3" s="548"/>
      <c r="AE3" s="548"/>
      <c r="AF3" s="548"/>
      <c r="AG3" s="548"/>
      <c r="AH3" s="660" t="s">
        <v>6</v>
      </c>
      <c r="AI3" s="660"/>
      <c r="AJ3" s="660"/>
      <c r="AK3" s="660"/>
      <c r="AL3" s="660"/>
      <c r="AM3" s="660"/>
      <c r="AN3" s="660"/>
      <c r="AO3" s="660"/>
      <c r="AP3" s="660"/>
      <c r="AQ3" s="660"/>
      <c r="AR3" s="660"/>
      <c r="AS3" s="660"/>
      <c r="AT3" s="660"/>
      <c r="AU3" s="660"/>
      <c r="AV3" s="660"/>
      <c r="AW3" s="660"/>
      <c r="AX3" s="660"/>
      <c r="AY3" s="660"/>
      <c r="AZ3" s="661"/>
      <c r="BA3" s="549" t="s">
        <v>62</v>
      </c>
      <c r="BB3" s="550"/>
      <c r="BC3" s="550"/>
      <c r="BD3" s="550"/>
      <c r="BE3" s="550"/>
      <c r="BF3" s="2"/>
      <c r="BG3" s="551">
        <v>2024</v>
      </c>
      <c r="BH3" s="551"/>
      <c r="BI3" s="551"/>
      <c r="BJ3" s="551"/>
      <c r="BK3" s="551"/>
      <c r="BL3" s="551"/>
      <c r="BM3" s="551"/>
      <c r="BN3" s="551"/>
      <c r="BO3" s="551"/>
      <c r="BP3" s="551"/>
      <c r="BQ3" s="551"/>
      <c r="BR3" s="551"/>
      <c r="BS3" s="551"/>
      <c r="BT3" s="551"/>
      <c r="BU3" s="551"/>
      <c r="BV3" s="551"/>
      <c r="BW3" s="551"/>
      <c r="BX3" s="551"/>
      <c r="BY3" s="551"/>
      <c r="BZ3" s="552"/>
    </row>
    <row r="4" spans="1:79" ht="20.100000000000001" customHeight="1">
      <c r="A4" s="1"/>
      <c r="B4" s="10"/>
      <c r="C4" s="11"/>
      <c r="D4" s="11"/>
      <c r="E4" s="11"/>
      <c r="F4" s="11"/>
      <c r="G4" s="11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3"/>
      <c r="AA4" s="10"/>
      <c r="AB4" s="11"/>
      <c r="AC4" s="11"/>
      <c r="AD4" s="11"/>
      <c r="AE4" s="11"/>
      <c r="AF4" s="11"/>
      <c r="AG4" s="11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X4" s="662"/>
      <c r="AY4" s="662"/>
      <c r="AZ4" s="663"/>
      <c r="BA4" s="549" t="s">
        <v>9</v>
      </c>
      <c r="BB4" s="550"/>
      <c r="BC4" s="550"/>
      <c r="BD4" s="550"/>
      <c r="BE4" s="550"/>
      <c r="BF4" s="2"/>
      <c r="BG4" s="553" t="s">
        <v>214</v>
      </c>
      <c r="BH4" s="553"/>
      <c r="BI4" s="553"/>
      <c r="BJ4" s="553"/>
      <c r="BK4" s="553"/>
      <c r="BL4" s="553"/>
      <c r="BM4" s="554"/>
      <c r="BN4" s="555">
        <v>1009</v>
      </c>
      <c r="BO4" s="556"/>
      <c r="BP4" s="556"/>
      <c r="BQ4" s="556"/>
      <c r="BR4" s="556"/>
      <c r="BS4" s="556"/>
      <c r="BT4" s="556"/>
      <c r="BU4" s="556"/>
      <c r="BV4" s="556"/>
      <c r="BW4" s="556"/>
      <c r="BX4" s="556"/>
      <c r="BY4" s="556"/>
      <c r="BZ4" s="557"/>
    </row>
    <row r="5" spans="1:79" ht="50.1" customHeight="1" thickBot="1">
      <c r="A5" s="146" t="s">
        <v>113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</row>
    <row r="6" spans="1:79" ht="20.100000000000001" customHeight="1">
      <c r="A6" s="1"/>
      <c r="B6" s="558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 t="s">
        <v>114</v>
      </c>
      <c r="AF6" s="559"/>
      <c r="AG6" s="559"/>
      <c r="AH6" s="559"/>
      <c r="AI6" s="559"/>
      <c r="AJ6" s="559"/>
      <c r="AK6" s="559"/>
      <c r="AL6" s="559" t="s">
        <v>65</v>
      </c>
      <c r="AM6" s="559"/>
      <c r="AN6" s="559"/>
      <c r="AO6" s="559"/>
      <c r="AP6" s="559"/>
      <c r="AQ6" s="559"/>
      <c r="AR6" s="559"/>
      <c r="AS6" s="559"/>
      <c r="AT6" s="559"/>
      <c r="AU6" s="559"/>
      <c r="AV6" s="559"/>
      <c r="AW6" s="559"/>
      <c r="AX6" s="559"/>
      <c r="AY6" s="559"/>
      <c r="AZ6" s="559"/>
      <c r="BA6" s="559"/>
      <c r="BB6" s="559"/>
      <c r="BC6" s="559"/>
      <c r="BD6" s="559"/>
      <c r="BE6" s="559"/>
      <c r="BF6" s="559"/>
      <c r="BG6" s="559"/>
      <c r="BH6" s="559"/>
      <c r="BI6" s="559"/>
      <c r="BJ6" s="559"/>
      <c r="BK6" s="559"/>
      <c r="BL6" s="559"/>
      <c r="BM6" s="559"/>
      <c r="BN6" s="559"/>
      <c r="BO6" s="559" t="s">
        <v>115</v>
      </c>
      <c r="BP6" s="559"/>
      <c r="BQ6" s="559"/>
      <c r="BR6" s="559"/>
      <c r="BS6" s="559"/>
      <c r="BT6" s="559"/>
      <c r="BU6" s="559"/>
      <c r="BV6" s="559"/>
      <c r="BW6" s="559"/>
      <c r="BX6" s="559"/>
      <c r="BY6" s="559"/>
      <c r="BZ6" s="560"/>
    </row>
    <row r="7" spans="1:79" ht="20.100000000000001" customHeight="1">
      <c r="A7" s="1"/>
      <c r="B7" s="561" t="s">
        <v>116</v>
      </c>
      <c r="C7" s="469"/>
      <c r="D7" s="469"/>
      <c r="E7" s="469"/>
      <c r="F7" s="469" t="s">
        <v>117</v>
      </c>
      <c r="G7" s="469"/>
      <c r="H7" s="469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  <c r="X7" s="469"/>
      <c r="Y7" s="469"/>
      <c r="Z7" s="469"/>
      <c r="AA7" s="469"/>
      <c r="AB7" s="469"/>
      <c r="AC7" s="469"/>
      <c r="AD7" s="469"/>
      <c r="AE7" s="469" t="s">
        <v>118</v>
      </c>
      <c r="AF7" s="469"/>
      <c r="AG7" s="469"/>
      <c r="AH7" s="469"/>
      <c r="AI7" s="469"/>
      <c r="AJ7" s="469"/>
      <c r="AK7" s="469"/>
      <c r="AL7" s="469" t="s">
        <v>119</v>
      </c>
      <c r="AM7" s="469"/>
      <c r="AN7" s="469"/>
      <c r="AO7" s="469"/>
      <c r="AP7" s="469"/>
      <c r="AQ7" s="469"/>
      <c r="AR7" s="469"/>
      <c r="AS7" s="469" t="s">
        <v>120</v>
      </c>
      <c r="AT7" s="469"/>
      <c r="AU7" s="469"/>
      <c r="AV7" s="469"/>
      <c r="AW7" s="469"/>
      <c r="AX7" s="469"/>
      <c r="AY7" s="469"/>
      <c r="AZ7" s="469"/>
      <c r="BA7" s="469"/>
      <c r="BB7" s="469"/>
      <c r="BC7" s="469" t="s">
        <v>121</v>
      </c>
      <c r="BD7" s="469"/>
      <c r="BE7" s="469"/>
      <c r="BF7" s="469"/>
      <c r="BG7" s="469"/>
      <c r="BH7" s="469"/>
      <c r="BI7" s="469"/>
      <c r="BJ7" s="469"/>
      <c r="BK7" s="469"/>
      <c r="BL7" s="469"/>
      <c r="BM7" s="469"/>
      <c r="BN7" s="469"/>
      <c r="BO7" s="469" t="s">
        <v>122</v>
      </c>
      <c r="BP7" s="469"/>
      <c r="BQ7" s="469"/>
      <c r="BR7" s="469"/>
      <c r="BS7" s="469"/>
      <c r="BT7" s="469"/>
      <c r="BU7" s="469"/>
      <c r="BV7" s="469"/>
      <c r="BW7" s="469"/>
      <c r="BX7" s="469"/>
      <c r="BY7" s="469"/>
      <c r="BZ7" s="562"/>
    </row>
    <row r="8" spans="1:79" ht="20.100000000000001" customHeight="1">
      <c r="A8" s="1"/>
      <c r="B8" s="563">
        <v>1</v>
      </c>
      <c r="C8" s="564"/>
      <c r="D8" s="564"/>
      <c r="E8" s="564"/>
      <c r="F8" s="565" t="s">
        <v>840</v>
      </c>
      <c r="G8" s="566"/>
      <c r="H8" s="566"/>
      <c r="I8" s="566"/>
      <c r="J8" s="566"/>
      <c r="K8" s="566"/>
      <c r="L8" s="566"/>
      <c r="M8" s="566"/>
      <c r="N8" s="566"/>
      <c r="O8" s="566"/>
      <c r="P8" s="566"/>
      <c r="Q8" s="566"/>
      <c r="R8" s="566"/>
      <c r="S8" s="566"/>
      <c r="T8" s="566"/>
      <c r="U8" s="566"/>
      <c r="V8" s="566"/>
      <c r="W8" s="566"/>
      <c r="X8" s="566"/>
      <c r="Y8" s="566"/>
      <c r="Z8" s="566"/>
      <c r="AA8" s="566"/>
      <c r="AB8" s="566"/>
      <c r="AC8" s="566"/>
      <c r="AD8" s="566"/>
      <c r="AE8" s="566">
        <v>2000</v>
      </c>
      <c r="AF8" s="566"/>
      <c r="AG8" s="566"/>
      <c r="AH8" s="566"/>
      <c r="AI8" s="566"/>
      <c r="AJ8" s="566"/>
      <c r="AK8" s="566"/>
      <c r="AL8" s="567">
        <v>25592</v>
      </c>
      <c r="AM8" s="566"/>
      <c r="AN8" s="566"/>
      <c r="AO8" s="566"/>
      <c r="AP8" s="566"/>
      <c r="AQ8" s="566"/>
      <c r="AR8" s="566"/>
      <c r="AS8" s="568">
        <v>16000</v>
      </c>
      <c r="AT8" s="566"/>
      <c r="AU8" s="566"/>
      <c r="AV8" s="566"/>
      <c r="AW8" s="566"/>
      <c r="AX8" s="566"/>
      <c r="AY8" s="566"/>
      <c r="AZ8" s="566"/>
      <c r="BA8" s="566"/>
      <c r="BB8" s="566"/>
      <c r="BC8" s="569" t="s">
        <v>860</v>
      </c>
      <c r="BD8" s="570"/>
      <c r="BE8" s="570"/>
      <c r="BF8" s="570"/>
      <c r="BG8" s="570"/>
      <c r="BH8" s="570"/>
      <c r="BI8" s="570"/>
      <c r="BJ8" s="570"/>
      <c r="BK8" s="570"/>
      <c r="BL8" s="570"/>
      <c r="BM8" s="570"/>
      <c r="BN8" s="571"/>
      <c r="BO8" s="566"/>
      <c r="BP8" s="566"/>
      <c r="BQ8" s="566"/>
      <c r="BR8" s="566"/>
      <c r="BS8" s="566"/>
      <c r="BT8" s="566"/>
      <c r="BU8" s="566"/>
      <c r="BV8" s="566"/>
      <c r="BW8" s="566"/>
      <c r="BX8" s="566"/>
      <c r="BY8" s="566"/>
      <c r="BZ8" s="572"/>
    </row>
    <row r="9" spans="1:79" ht="20.100000000000001" customHeight="1">
      <c r="A9" s="1"/>
      <c r="B9" s="563">
        <v>2</v>
      </c>
      <c r="C9" s="564"/>
      <c r="D9" s="564"/>
      <c r="E9" s="564"/>
      <c r="F9" s="566"/>
      <c r="G9" s="566"/>
      <c r="H9" s="566"/>
      <c r="I9" s="566"/>
      <c r="J9" s="566"/>
      <c r="K9" s="566"/>
      <c r="L9" s="566"/>
      <c r="M9" s="566"/>
      <c r="N9" s="566"/>
      <c r="O9" s="566"/>
      <c r="P9" s="566"/>
      <c r="Q9" s="566"/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  <c r="AC9" s="566"/>
      <c r="AD9" s="566"/>
      <c r="AE9" s="566"/>
      <c r="AF9" s="566"/>
      <c r="AG9" s="566"/>
      <c r="AH9" s="566"/>
      <c r="AI9" s="566"/>
      <c r="AJ9" s="566"/>
      <c r="AK9" s="566"/>
      <c r="AL9" s="566"/>
      <c r="AM9" s="566"/>
      <c r="AN9" s="566"/>
      <c r="AO9" s="566"/>
      <c r="AP9" s="566"/>
      <c r="AQ9" s="566"/>
      <c r="AR9" s="566"/>
      <c r="AS9" s="566"/>
      <c r="AT9" s="566"/>
      <c r="AU9" s="566"/>
      <c r="AV9" s="566"/>
      <c r="AW9" s="566"/>
      <c r="AX9" s="566"/>
      <c r="AY9" s="566"/>
      <c r="AZ9" s="566"/>
      <c r="BA9" s="566"/>
      <c r="BB9" s="566"/>
      <c r="BC9" s="565"/>
      <c r="BD9" s="566"/>
      <c r="BE9" s="566"/>
      <c r="BF9" s="566"/>
      <c r="BG9" s="566"/>
      <c r="BH9" s="566"/>
      <c r="BI9" s="566"/>
      <c r="BJ9" s="566"/>
      <c r="BK9" s="566"/>
      <c r="BL9" s="566"/>
      <c r="BM9" s="566"/>
      <c r="BN9" s="566"/>
      <c r="BO9" s="566"/>
      <c r="BP9" s="566"/>
      <c r="BQ9" s="566"/>
      <c r="BR9" s="566"/>
      <c r="BS9" s="566"/>
      <c r="BT9" s="566"/>
      <c r="BU9" s="566"/>
      <c r="BV9" s="566"/>
      <c r="BW9" s="566"/>
      <c r="BX9" s="566"/>
      <c r="BY9" s="566"/>
      <c r="BZ9" s="572"/>
    </row>
    <row r="10" spans="1:79" ht="20.100000000000001" customHeight="1">
      <c r="A10" s="1"/>
      <c r="B10" s="563">
        <v>3</v>
      </c>
      <c r="C10" s="564"/>
      <c r="D10" s="564"/>
      <c r="E10" s="56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472"/>
    </row>
    <row r="11" spans="1:79" ht="20.100000000000001" customHeight="1">
      <c r="A11" s="1"/>
      <c r="B11" s="573" t="s">
        <v>123</v>
      </c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574"/>
      <c r="AT11" s="575"/>
      <c r="AU11" s="575"/>
      <c r="AV11" s="575"/>
      <c r="AW11" s="575"/>
      <c r="AX11" s="575"/>
      <c r="AY11" s="575"/>
      <c r="AZ11" s="575"/>
      <c r="BA11" s="575"/>
      <c r="BB11" s="576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3"/>
    </row>
    <row r="12" spans="1:79" ht="20.100000000000001" customHeight="1">
      <c r="A12" s="1"/>
      <c r="B12" s="479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154"/>
      <c r="BU12" s="154"/>
      <c r="BV12" s="154"/>
      <c r="BW12" s="154"/>
      <c r="BX12" s="154"/>
      <c r="BY12" s="154"/>
      <c r="BZ12" s="472"/>
    </row>
    <row r="13" spans="1:79" ht="20.100000000000001" customHeight="1">
      <c r="A13" s="1"/>
      <c r="B13" s="573" t="s">
        <v>124</v>
      </c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3"/>
    </row>
    <row r="14" spans="1:79" ht="20.100000000000001" customHeight="1">
      <c r="A14" s="1"/>
      <c r="B14" s="479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583"/>
      <c r="AT14" s="583"/>
      <c r="AU14" s="583"/>
      <c r="AV14" s="583"/>
      <c r="AW14" s="583"/>
      <c r="AX14" s="583"/>
      <c r="AY14" s="583"/>
      <c r="AZ14" s="583"/>
      <c r="BA14" s="583"/>
      <c r="BB14" s="583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472"/>
    </row>
    <row r="15" spans="1:79" ht="35.1" customHeight="1" thickBot="1">
      <c r="A15" s="1"/>
      <c r="B15" s="584" t="s">
        <v>125</v>
      </c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585"/>
      <c r="R15" s="585"/>
      <c r="S15" s="585"/>
      <c r="T15" s="585"/>
      <c r="U15" s="585"/>
      <c r="V15" s="585"/>
      <c r="W15" s="585"/>
      <c r="X15" s="585"/>
      <c r="Y15" s="585"/>
      <c r="Z15" s="585"/>
      <c r="AA15" s="585"/>
      <c r="AB15" s="585"/>
      <c r="AC15" s="585"/>
      <c r="AD15" s="585"/>
      <c r="AE15" s="585"/>
      <c r="AF15" s="585"/>
      <c r="AG15" s="585"/>
      <c r="AH15" s="585"/>
      <c r="AI15" s="585"/>
      <c r="AJ15" s="585"/>
      <c r="AK15" s="585"/>
      <c r="AL15" s="585"/>
      <c r="AM15" s="585"/>
      <c r="AN15" s="585"/>
      <c r="AO15" s="585"/>
      <c r="AP15" s="585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2"/>
      <c r="BO15" s="579" t="s">
        <v>206</v>
      </c>
      <c r="BP15" s="580"/>
      <c r="BQ15" s="581">
        <v>16000</v>
      </c>
      <c r="BR15" s="581"/>
      <c r="BS15" s="581"/>
      <c r="BT15" s="581"/>
      <c r="BU15" s="581"/>
      <c r="BV15" s="581"/>
      <c r="BW15" s="581"/>
      <c r="BX15" s="581"/>
      <c r="BY15" s="581"/>
      <c r="BZ15" s="582"/>
      <c r="CA15" s="51">
        <f>+BQ15</f>
        <v>16000</v>
      </c>
    </row>
    <row r="16" spans="1:79" ht="20.100000000000001" customHeight="1">
      <c r="A16" s="1"/>
      <c r="B16" s="586" t="s">
        <v>126</v>
      </c>
      <c r="C16" s="587"/>
      <c r="D16" s="587"/>
      <c r="E16" s="587"/>
      <c r="F16" s="587"/>
      <c r="G16" s="587"/>
      <c r="H16" s="587"/>
      <c r="I16" s="587"/>
      <c r="J16" s="587"/>
      <c r="K16" s="587"/>
      <c r="L16" s="587"/>
      <c r="M16" s="587"/>
      <c r="N16" s="587"/>
      <c r="O16" s="587"/>
      <c r="P16" s="587"/>
      <c r="Q16" s="587"/>
      <c r="R16" s="587"/>
      <c r="S16" s="587"/>
      <c r="T16" s="587"/>
      <c r="U16" s="587"/>
      <c r="V16" s="587"/>
      <c r="W16" s="587"/>
      <c r="X16" s="587"/>
      <c r="Y16" s="587"/>
      <c r="Z16" s="587"/>
      <c r="AA16" s="587"/>
      <c r="AB16" s="587"/>
      <c r="AC16" s="587"/>
      <c r="AD16" s="587"/>
      <c r="AE16" s="587"/>
      <c r="AF16" s="587"/>
      <c r="AG16" s="587"/>
      <c r="AH16" s="587"/>
      <c r="AI16" s="587"/>
      <c r="AJ16" s="587"/>
      <c r="AK16" s="587"/>
      <c r="AL16" s="587"/>
      <c r="AM16" s="587"/>
      <c r="AN16" s="587"/>
      <c r="AO16" s="587"/>
      <c r="AP16" s="587"/>
      <c r="AQ16" s="587"/>
      <c r="AR16" s="587"/>
      <c r="AS16" s="587"/>
      <c r="AT16" s="587"/>
      <c r="AU16" s="18" t="s">
        <v>13</v>
      </c>
      <c r="AV16" s="18"/>
      <c r="AW16" s="18" t="s">
        <v>14</v>
      </c>
      <c r="AX16" s="587" t="s">
        <v>127</v>
      </c>
      <c r="AY16" s="587"/>
      <c r="AZ16" s="587"/>
      <c r="BA16" s="587"/>
      <c r="BB16" s="18"/>
      <c r="BC16" s="18" t="s">
        <v>13</v>
      </c>
      <c r="BD16" s="18"/>
      <c r="BE16" s="18" t="s">
        <v>14</v>
      </c>
      <c r="BF16" s="587" t="s">
        <v>128</v>
      </c>
      <c r="BG16" s="587"/>
      <c r="BH16" s="587"/>
      <c r="BI16" s="587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4"/>
    </row>
    <row r="17" spans="1:79" ht="20.100000000000001" customHeight="1">
      <c r="A17" s="1"/>
      <c r="B17" s="588" t="s">
        <v>129</v>
      </c>
      <c r="C17" s="589"/>
      <c r="D17" s="589"/>
      <c r="E17" s="589"/>
      <c r="F17" s="589"/>
      <c r="G17" s="19"/>
      <c r="H17" s="577"/>
      <c r="I17" s="577"/>
      <c r="J17" s="577"/>
      <c r="K17" s="577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19"/>
      <c r="AB17" s="589" t="s">
        <v>130</v>
      </c>
      <c r="AC17" s="589"/>
      <c r="AD17" s="589"/>
      <c r="AE17" s="589"/>
      <c r="AF17" s="589"/>
      <c r="AG17" s="589"/>
      <c r="AH17" s="589"/>
      <c r="AI17" s="589"/>
      <c r="AJ17" s="589"/>
      <c r="AK17" s="589"/>
      <c r="AL17" s="589"/>
      <c r="AM17" s="589"/>
      <c r="AN17" s="589"/>
      <c r="AO17" s="19"/>
      <c r="AP17" s="577"/>
      <c r="AQ17" s="577"/>
      <c r="AR17" s="577"/>
      <c r="AS17" s="577"/>
      <c r="AT17" s="577"/>
      <c r="AU17" s="577"/>
      <c r="AV17" s="577"/>
      <c r="AW17" s="577"/>
      <c r="AX17" s="577"/>
      <c r="AY17" s="577"/>
      <c r="AZ17" s="577"/>
      <c r="BA17" s="577"/>
      <c r="BB17" s="577"/>
      <c r="BC17" s="577"/>
      <c r="BD17" s="19"/>
      <c r="BE17" s="589" t="s">
        <v>131</v>
      </c>
      <c r="BF17" s="589"/>
      <c r="BG17" s="589"/>
      <c r="BH17" s="589"/>
      <c r="BI17" s="589"/>
      <c r="BJ17" s="19"/>
      <c r="BK17" s="577"/>
      <c r="BL17" s="577"/>
      <c r="BM17" s="577"/>
      <c r="BN17" s="577"/>
      <c r="BO17" s="577"/>
      <c r="BP17" s="577"/>
      <c r="BQ17" s="577"/>
      <c r="BR17" s="577"/>
      <c r="BS17" s="577"/>
      <c r="BT17" s="577"/>
      <c r="BU17" s="577"/>
      <c r="BV17" s="577"/>
      <c r="BW17" s="577"/>
      <c r="BX17" s="577"/>
      <c r="BY17" s="577"/>
      <c r="BZ17" s="578"/>
    </row>
    <row r="18" spans="1:79" ht="50.1" customHeight="1">
      <c r="A18" s="146" t="s">
        <v>132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</row>
    <row r="19" spans="1:79" ht="18" customHeight="1">
      <c r="A19" s="1"/>
      <c r="B19" s="594"/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6"/>
      <c r="N19" s="597"/>
      <c r="O19" s="595"/>
      <c r="P19" s="595"/>
      <c r="Q19" s="595"/>
      <c r="R19" s="596"/>
      <c r="S19" s="598" t="s">
        <v>133</v>
      </c>
      <c r="T19" s="599"/>
      <c r="U19" s="599"/>
      <c r="V19" s="599"/>
      <c r="W19" s="599"/>
      <c r="X19" s="599"/>
      <c r="Y19" s="599"/>
      <c r="Z19" s="599"/>
      <c r="AA19" s="599"/>
      <c r="AB19" s="599"/>
      <c r="AC19" s="599"/>
      <c r="AD19" s="600"/>
      <c r="AE19" s="598" t="s">
        <v>134</v>
      </c>
      <c r="AF19" s="599"/>
      <c r="AG19" s="599"/>
      <c r="AH19" s="599"/>
      <c r="AI19" s="599"/>
      <c r="AJ19" s="599"/>
      <c r="AK19" s="599"/>
      <c r="AL19" s="599"/>
      <c r="AM19" s="599"/>
      <c r="AN19" s="599"/>
      <c r="AO19" s="599"/>
      <c r="AP19" s="600"/>
      <c r="AQ19" s="598" t="s">
        <v>135</v>
      </c>
      <c r="AR19" s="599"/>
      <c r="AS19" s="599"/>
      <c r="AT19" s="599"/>
      <c r="AU19" s="599"/>
      <c r="AV19" s="599"/>
      <c r="AW19" s="599"/>
      <c r="AX19" s="599"/>
      <c r="AY19" s="599"/>
      <c r="AZ19" s="599"/>
      <c r="BA19" s="599"/>
      <c r="BB19" s="600"/>
      <c r="BC19" s="598" t="s">
        <v>136</v>
      </c>
      <c r="BD19" s="599"/>
      <c r="BE19" s="599"/>
      <c r="BF19" s="599"/>
      <c r="BG19" s="599"/>
      <c r="BH19" s="599"/>
      <c r="BI19" s="599"/>
      <c r="BJ19" s="599"/>
      <c r="BK19" s="599"/>
      <c r="BL19" s="599"/>
      <c r="BM19" s="599"/>
      <c r="BN19" s="599"/>
      <c r="BO19" s="599"/>
      <c r="BP19" s="599"/>
      <c r="BQ19" s="599"/>
      <c r="BR19" s="599"/>
      <c r="BS19" s="599"/>
      <c r="BT19" s="599"/>
      <c r="BU19" s="599"/>
      <c r="BV19" s="599"/>
      <c r="BW19" s="599"/>
      <c r="BX19" s="599"/>
      <c r="BY19" s="599"/>
      <c r="BZ19" s="601"/>
    </row>
    <row r="20" spans="1:79" ht="18" customHeight="1">
      <c r="A20" s="1"/>
      <c r="B20" s="602" t="s">
        <v>137</v>
      </c>
      <c r="C20" s="603"/>
      <c r="D20" s="603"/>
      <c r="E20" s="603"/>
      <c r="F20" s="603"/>
      <c r="G20" s="603"/>
      <c r="H20" s="603"/>
      <c r="I20" s="603"/>
      <c r="J20" s="603"/>
      <c r="K20" s="603"/>
      <c r="L20" s="603"/>
      <c r="M20" s="604"/>
      <c r="N20" s="605" t="s">
        <v>138</v>
      </c>
      <c r="O20" s="603"/>
      <c r="P20" s="603"/>
      <c r="Q20" s="603"/>
      <c r="R20" s="604"/>
      <c r="S20" s="606" t="s">
        <v>139</v>
      </c>
      <c r="T20" s="607"/>
      <c r="U20" s="607"/>
      <c r="V20" s="607"/>
      <c r="W20" s="607"/>
      <c r="X20" s="608"/>
      <c r="Y20" s="606" t="s">
        <v>120</v>
      </c>
      <c r="Z20" s="607"/>
      <c r="AA20" s="607"/>
      <c r="AB20" s="607"/>
      <c r="AC20" s="607"/>
      <c r="AD20" s="608"/>
      <c r="AE20" s="606" t="s">
        <v>139</v>
      </c>
      <c r="AF20" s="607"/>
      <c r="AG20" s="607"/>
      <c r="AH20" s="607"/>
      <c r="AI20" s="607"/>
      <c r="AJ20" s="608"/>
      <c r="AK20" s="606" t="s">
        <v>120</v>
      </c>
      <c r="AL20" s="607"/>
      <c r="AM20" s="607"/>
      <c r="AN20" s="607"/>
      <c r="AO20" s="607"/>
      <c r="AP20" s="608"/>
      <c r="AQ20" s="606" t="s">
        <v>139</v>
      </c>
      <c r="AR20" s="607"/>
      <c r="AS20" s="607"/>
      <c r="AT20" s="607"/>
      <c r="AU20" s="607"/>
      <c r="AV20" s="608"/>
      <c r="AW20" s="606" t="s">
        <v>120</v>
      </c>
      <c r="AX20" s="607"/>
      <c r="AY20" s="607"/>
      <c r="AZ20" s="607"/>
      <c r="BA20" s="607"/>
      <c r="BB20" s="608"/>
      <c r="BC20" s="606" t="s">
        <v>139</v>
      </c>
      <c r="BD20" s="607"/>
      <c r="BE20" s="607"/>
      <c r="BF20" s="607"/>
      <c r="BG20" s="607"/>
      <c r="BH20" s="607"/>
      <c r="BI20" s="607"/>
      <c r="BJ20" s="608"/>
      <c r="BK20" s="606" t="s">
        <v>120</v>
      </c>
      <c r="BL20" s="607"/>
      <c r="BM20" s="607"/>
      <c r="BN20" s="607"/>
      <c r="BO20" s="607"/>
      <c r="BP20" s="607"/>
      <c r="BQ20" s="607"/>
      <c r="BR20" s="607"/>
      <c r="BS20" s="607"/>
      <c r="BT20" s="607"/>
      <c r="BU20" s="607"/>
      <c r="BV20" s="607"/>
      <c r="BW20" s="607"/>
      <c r="BX20" s="607"/>
      <c r="BY20" s="607"/>
      <c r="BZ20" s="609"/>
    </row>
    <row r="21" spans="1:79" ht="18" customHeight="1">
      <c r="A21" s="1"/>
      <c r="B21" s="610" t="s">
        <v>853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7" t="s">
        <v>199</v>
      </c>
      <c r="O21" s="154"/>
      <c r="P21" s="154"/>
      <c r="Q21" s="154"/>
      <c r="R21" s="154"/>
      <c r="S21" s="154">
        <v>1</v>
      </c>
      <c r="T21" s="154"/>
      <c r="U21" s="154"/>
      <c r="V21" s="154"/>
      <c r="W21" s="154"/>
      <c r="X21" s="154"/>
      <c r="Y21" s="611">
        <v>150</v>
      </c>
      <c r="Z21" s="611"/>
      <c r="AA21" s="611"/>
      <c r="AB21" s="611"/>
      <c r="AC21" s="611"/>
      <c r="AD21" s="611"/>
      <c r="AE21" s="157" t="s">
        <v>854</v>
      </c>
      <c r="AF21" s="154"/>
      <c r="AG21" s="154"/>
      <c r="AH21" s="154"/>
      <c r="AI21" s="154"/>
      <c r="AJ21" s="154"/>
      <c r="AK21" s="611"/>
      <c r="AL21" s="611"/>
      <c r="AM21" s="611"/>
      <c r="AN21" s="611"/>
      <c r="AO21" s="611"/>
      <c r="AP21" s="611"/>
      <c r="AQ21" s="157" t="s">
        <v>856</v>
      </c>
      <c r="AR21" s="154"/>
      <c r="AS21" s="154"/>
      <c r="AT21" s="154"/>
      <c r="AU21" s="154"/>
      <c r="AV21" s="154"/>
      <c r="AW21" s="611"/>
      <c r="AX21" s="611"/>
      <c r="AY21" s="611"/>
      <c r="AZ21" s="611"/>
      <c r="BA21" s="611"/>
      <c r="BB21" s="611"/>
      <c r="BC21" s="154">
        <v>1</v>
      </c>
      <c r="BD21" s="154"/>
      <c r="BE21" s="154"/>
      <c r="BF21" s="154"/>
      <c r="BG21" s="154"/>
      <c r="BH21" s="154"/>
      <c r="BI21" s="154"/>
      <c r="BJ21" s="154"/>
      <c r="BK21" s="590" t="s">
        <v>206</v>
      </c>
      <c r="BL21" s="591"/>
      <c r="BM21" s="592">
        <v>150</v>
      </c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3"/>
    </row>
    <row r="22" spans="1:79" ht="18" customHeight="1">
      <c r="A22" s="1"/>
      <c r="B22" s="610" t="s">
        <v>855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7" t="s">
        <v>199</v>
      </c>
      <c r="O22" s="154"/>
      <c r="P22" s="154"/>
      <c r="Q22" s="154"/>
      <c r="R22" s="154"/>
      <c r="S22" s="154">
        <v>1</v>
      </c>
      <c r="T22" s="154"/>
      <c r="U22" s="154"/>
      <c r="V22" s="154"/>
      <c r="W22" s="154"/>
      <c r="X22" s="154"/>
      <c r="Y22" s="611">
        <v>100</v>
      </c>
      <c r="Z22" s="611"/>
      <c r="AA22" s="611"/>
      <c r="AB22" s="611"/>
      <c r="AC22" s="611"/>
      <c r="AD22" s="611"/>
      <c r="AE22" s="157" t="s">
        <v>854</v>
      </c>
      <c r="AF22" s="154"/>
      <c r="AG22" s="154"/>
      <c r="AH22" s="154"/>
      <c r="AI22" s="154"/>
      <c r="AJ22" s="154"/>
      <c r="AK22" s="611"/>
      <c r="AL22" s="611"/>
      <c r="AM22" s="611"/>
      <c r="AN22" s="611"/>
      <c r="AO22" s="611"/>
      <c r="AP22" s="611"/>
      <c r="AQ22" s="157" t="s">
        <v>856</v>
      </c>
      <c r="AR22" s="154"/>
      <c r="AS22" s="154"/>
      <c r="AT22" s="154"/>
      <c r="AU22" s="154"/>
      <c r="AV22" s="154"/>
      <c r="AW22" s="611"/>
      <c r="AX22" s="611"/>
      <c r="AY22" s="611"/>
      <c r="AZ22" s="611"/>
      <c r="BA22" s="611"/>
      <c r="BB22" s="611"/>
      <c r="BC22" s="154">
        <v>1</v>
      </c>
      <c r="BD22" s="154"/>
      <c r="BE22" s="154"/>
      <c r="BF22" s="154"/>
      <c r="BG22" s="154"/>
      <c r="BH22" s="154"/>
      <c r="BI22" s="154"/>
      <c r="BJ22" s="154"/>
      <c r="BK22" s="590" t="s">
        <v>206</v>
      </c>
      <c r="BL22" s="591"/>
      <c r="BM22" s="592">
        <v>100</v>
      </c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3"/>
    </row>
    <row r="23" spans="1:79" ht="18" customHeight="1">
      <c r="A23" s="1"/>
      <c r="B23" s="479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611"/>
      <c r="Z23" s="611"/>
      <c r="AA23" s="611"/>
      <c r="AB23" s="611"/>
      <c r="AC23" s="611"/>
      <c r="AD23" s="611"/>
      <c r="AE23" s="154"/>
      <c r="AF23" s="154"/>
      <c r="AG23" s="154"/>
      <c r="AH23" s="154"/>
      <c r="AI23" s="154"/>
      <c r="AJ23" s="154"/>
      <c r="AK23" s="611"/>
      <c r="AL23" s="611"/>
      <c r="AM23" s="611"/>
      <c r="AN23" s="611"/>
      <c r="AO23" s="611"/>
      <c r="AP23" s="611"/>
      <c r="AQ23" s="154"/>
      <c r="AR23" s="154"/>
      <c r="AS23" s="154"/>
      <c r="AT23" s="154"/>
      <c r="AU23" s="154"/>
      <c r="AV23" s="154"/>
      <c r="AW23" s="611"/>
      <c r="AX23" s="611"/>
      <c r="AY23" s="611"/>
      <c r="AZ23" s="611"/>
      <c r="BA23" s="611"/>
      <c r="BB23" s="611"/>
      <c r="BC23" s="154"/>
      <c r="BD23" s="154"/>
      <c r="BE23" s="154"/>
      <c r="BF23" s="154"/>
      <c r="BG23" s="154"/>
      <c r="BH23" s="154"/>
      <c r="BI23" s="154"/>
      <c r="BJ23" s="154"/>
      <c r="BK23" s="611"/>
      <c r="BL23" s="611"/>
      <c r="BM23" s="611"/>
      <c r="BN23" s="611"/>
      <c r="BO23" s="611"/>
      <c r="BP23" s="611"/>
      <c r="BQ23" s="611"/>
      <c r="BR23" s="611"/>
      <c r="BS23" s="611"/>
      <c r="BT23" s="611"/>
      <c r="BU23" s="611"/>
      <c r="BV23" s="611"/>
      <c r="BW23" s="611"/>
      <c r="BX23" s="611"/>
      <c r="BY23" s="611"/>
      <c r="BZ23" s="612"/>
    </row>
    <row r="24" spans="1:79" ht="18" customHeight="1">
      <c r="A24" s="1"/>
      <c r="B24" s="479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611"/>
      <c r="Z24" s="611"/>
      <c r="AA24" s="611"/>
      <c r="AB24" s="611"/>
      <c r="AC24" s="611"/>
      <c r="AD24" s="611"/>
      <c r="AE24" s="154"/>
      <c r="AF24" s="154"/>
      <c r="AG24" s="154"/>
      <c r="AH24" s="154"/>
      <c r="AI24" s="154"/>
      <c r="AJ24" s="154"/>
      <c r="AK24" s="611"/>
      <c r="AL24" s="611"/>
      <c r="AM24" s="611"/>
      <c r="AN24" s="611"/>
      <c r="AO24" s="611"/>
      <c r="AP24" s="611"/>
      <c r="AQ24" s="154"/>
      <c r="AR24" s="154"/>
      <c r="AS24" s="154"/>
      <c r="AT24" s="154"/>
      <c r="AU24" s="154"/>
      <c r="AV24" s="154"/>
      <c r="AW24" s="611"/>
      <c r="AX24" s="611"/>
      <c r="AY24" s="611"/>
      <c r="AZ24" s="611"/>
      <c r="BA24" s="611"/>
      <c r="BB24" s="611"/>
      <c r="BC24" s="154"/>
      <c r="BD24" s="154"/>
      <c r="BE24" s="154"/>
      <c r="BF24" s="154"/>
      <c r="BG24" s="154"/>
      <c r="BH24" s="154"/>
      <c r="BI24" s="154"/>
      <c r="BJ24" s="154"/>
      <c r="BK24" s="611"/>
      <c r="BL24" s="611"/>
      <c r="BM24" s="611"/>
      <c r="BN24" s="611"/>
      <c r="BO24" s="611"/>
      <c r="BP24" s="611"/>
      <c r="BQ24" s="611"/>
      <c r="BR24" s="611"/>
      <c r="BS24" s="611"/>
      <c r="BT24" s="611"/>
      <c r="BU24" s="611"/>
      <c r="BV24" s="611"/>
      <c r="BW24" s="611"/>
      <c r="BX24" s="611"/>
      <c r="BY24" s="611"/>
      <c r="BZ24" s="612"/>
    </row>
    <row r="25" spans="1:79" ht="18" customHeight="1">
      <c r="A25" s="1"/>
      <c r="B25" s="479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611"/>
      <c r="Z25" s="611"/>
      <c r="AA25" s="611"/>
      <c r="AB25" s="611"/>
      <c r="AC25" s="611"/>
      <c r="AD25" s="611"/>
      <c r="AE25" s="154"/>
      <c r="AF25" s="154"/>
      <c r="AG25" s="154"/>
      <c r="AH25" s="154"/>
      <c r="AI25" s="154"/>
      <c r="AJ25" s="154"/>
      <c r="AK25" s="611"/>
      <c r="AL25" s="611"/>
      <c r="AM25" s="611"/>
      <c r="AN25" s="611"/>
      <c r="AO25" s="611"/>
      <c r="AP25" s="611"/>
      <c r="AQ25" s="154"/>
      <c r="AR25" s="154"/>
      <c r="AS25" s="154"/>
      <c r="AT25" s="154"/>
      <c r="AU25" s="154"/>
      <c r="AV25" s="154"/>
      <c r="AW25" s="611"/>
      <c r="AX25" s="611"/>
      <c r="AY25" s="611"/>
      <c r="AZ25" s="611"/>
      <c r="BA25" s="611"/>
      <c r="BB25" s="611"/>
      <c r="BC25" s="154"/>
      <c r="BD25" s="154"/>
      <c r="BE25" s="154"/>
      <c r="BF25" s="154"/>
      <c r="BG25" s="154"/>
      <c r="BH25" s="154"/>
      <c r="BI25" s="154"/>
      <c r="BJ25" s="154"/>
      <c r="BK25" s="611"/>
      <c r="BL25" s="611"/>
      <c r="BM25" s="611"/>
      <c r="BN25" s="611"/>
      <c r="BO25" s="611"/>
      <c r="BP25" s="611"/>
      <c r="BQ25" s="611"/>
      <c r="BR25" s="611"/>
      <c r="BS25" s="611"/>
      <c r="BT25" s="611"/>
      <c r="BU25" s="611"/>
      <c r="BV25" s="611"/>
      <c r="BW25" s="611"/>
      <c r="BX25" s="611"/>
      <c r="BY25" s="611"/>
      <c r="BZ25" s="612"/>
    </row>
    <row r="26" spans="1:79" ht="18" customHeight="1">
      <c r="A26" s="1"/>
      <c r="B26" s="479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611"/>
      <c r="Z26" s="611"/>
      <c r="AA26" s="611"/>
      <c r="AB26" s="611"/>
      <c r="AC26" s="611"/>
      <c r="AD26" s="611"/>
      <c r="AE26" s="154"/>
      <c r="AF26" s="154"/>
      <c r="AG26" s="154"/>
      <c r="AH26" s="154"/>
      <c r="AI26" s="154"/>
      <c r="AJ26" s="154"/>
      <c r="AK26" s="611"/>
      <c r="AL26" s="611"/>
      <c r="AM26" s="611"/>
      <c r="AN26" s="611"/>
      <c r="AO26" s="611"/>
      <c r="AP26" s="611"/>
      <c r="AQ26" s="154"/>
      <c r="AR26" s="154"/>
      <c r="AS26" s="154"/>
      <c r="AT26" s="154"/>
      <c r="AU26" s="154"/>
      <c r="AV26" s="154"/>
      <c r="AW26" s="611"/>
      <c r="AX26" s="611"/>
      <c r="AY26" s="611"/>
      <c r="AZ26" s="611"/>
      <c r="BA26" s="611"/>
      <c r="BB26" s="611"/>
      <c r="BC26" s="154"/>
      <c r="BD26" s="154"/>
      <c r="BE26" s="154"/>
      <c r="BF26" s="154"/>
      <c r="BG26" s="154"/>
      <c r="BH26" s="154"/>
      <c r="BI26" s="154"/>
      <c r="BJ26" s="154"/>
      <c r="BK26" s="611"/>
      <c r="BL26" s="611"/>
      <c r="BM26" s="611"/>
      <c r="BN26" s="611"/>
      <c r="BO26" s="611"/>
      <c r="BP26" s="611"/>
      <c r="BQ26" s="611"/>
      <c r="BR26" s="611"/>
      <c r="BS26" s="611"/>
      <c r="BT26" s="611"/>
      <c r="BU26" s="611"/>
      <c r="BV26" s="611"/>
      <c r="BW26" s="611"/>
      <c r="BX26" s="611"/>
      <c r="BY26" s="611"/>
      <c r="BZ26" s="612"/>
    </row>
    <row r="27" spans="1:79" ht="18" customHeight="1">
      <c r="A27" s="1"/>
      <c r="B27" s="479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611"/>
      <c r="Z27" s="611"/>
      <c r="AA27" s="611"/>
      <c r="AB27" s="611"/>
      <c r="AC27" s="611"/>
      <c r="AD27" s="611"/>
      <c r="AE27" s="154"/>
      <c r="AF27" s="154"/>
      <c r="AG27" s="154"/>
      <c r="AH27" s="154"/>
      <c r="AI27" s="154"/>
      <c r="AJ27" s="154"/>
      <c r="AK27" s="611"/>
      <c r="AL27" s="611"/>
      <c r="AM27" s="611"/>
      <c r="AN27" s="611"/>
      <c r="AO27" s="611"/>
      <c r="AP27" s="611"/>
      <c r="AQ27" s="154"/>
      <c r="AR27" s="154"/>
      <c r="AS27" s="154"/>
      <c r="AT27" s="154"/>
      <c r="AU27" s="154"/>
      <c r="AV27" s="154"/>
      <c r="AW27" s="611"/>
      <c r="AX27" s="611"/>
      <c r="AY27" s="611"/>
      <c r="AZ27" s="611"/>
      <c r="BA27" s="611"/>
      <c r="BB27" s="611"/>
      <c r="BC27" s="154"/>
      <c r="BD27" s="154"/>
      <c r="BE27" s="154"/>
      <c r="BF27" s="154"/>
      <c r="BG27" s="154"/>
      <c r="BH27" s="154"/>
      <c r="BI27" s="154"/>
      <c r="BJ27" s="154"/>
      <c r="BK27" s="611"/>
      <c r="BL27" s="611"/>
      <c r="BM27" s="611"/>
      <c r="BN27" s="611"/>
      <c r="BO27" s="611"/>
      <c r="BP27" s="611"/>
      <c r="BQ27" s="611"/>
      <c r="BR27" s="611"/>
      <c r="BS27" s="611"/>
      <c r="BT27" s="611"/>
      <c r="BU27" s="611"/>
      <c r="BV27" s="611"/>
      <c r="BW27" s="611"/>
      <c r="BX27" s="611"/>
      <c r="BY27" s="611"/>
      <c r="BZ27" s="612"/>
    </row>
    <row r="28" spans="1:79" ht="18" customHeight="1">
      <c r="A28" s="1"/>
      <c r="B28" s="479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611"/>
      <c r="Z28" s="611"/>
      <c r="AA28" s="611"/>
      <c r="AB28" s="611"/>
      <c r="AC28" s="611"/>
      <c r="AD28" s="611"/>
      <c r="AE28" s="154"/>
      <c r="AF28" s="154"/>
      <c r="AG28" s="154"/>
      <c r="AH28" s="154"/>
      <c r="AI28" s="154"/>
      <c r="AJ28" s="154"/>
      <c r="AK28" s="611"/>
      <c r="AL28" s="611"/>
      <c r="AM28" s="611"/>
      <c r="AN28" s="611"/>
      <c r="AO28" s="611"/>
      <c r="AP28" s="611"/>
      <c r="AQ28" s="154"/>
      <c r="AR28" s="154"/>
      <c r="AS28" s="154"/>
      <c r="AT28" s="154"/>
      <c r="AU28" s="154"/>
      <c r="AV28" s="154"/>
      <c r="AW28" s="611"/>
      <c r="AX28" s="611"/>
      <c r="AY28" s="611"/>
      <c r="AZ28" s="611"/>
      <c r="BA28" s="611"/>
      <c r="BB28" s="611"/>
      <c r="BC28" s="154"/>
      <c r="BD28" s="154"/>
      <c r="BE28" s="154"/>
      <c r="BF28" s="154"/>
      <c r="BG28" s="154"/>
      <c r="BH28" s="154"/>
      <c r="BI28" s="154"/>
      <c r="BJ28" s="154"/>
      <c r="BK28" s="611"/>
      <c r="BL28" s="611"/>
      <c r="BM28" s="611"/>
      <c r="BN28" s="611"/>
      <c r="BO28" s="611"/>
      <c r="BP28" s="611"/>
      <c r="BQ28" s="611"/>
      <c r="BR28" s="611"/>
      <c r="BS28" s="611"/>
      <c r="BT28" s="611"/>
      <c r="BU28" s="611"/>
      <c r="BV28" s="611"/>
      <c r="BW28" s="611"/>
      <c r="BX28" s="611"/>
      <c r="BY28" s="611"/>
      <c r="BZ28" s="612"/>
    </row>
    <row r="29" spans="1:79" ht="18" customHeight="1">
      <c r="A29" s="1"/>
      <c r="B29" s="479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611"/>
      <c r="Z29" s="611"/>
      <c r="AA29" s="611"/>
      <c r="AB29" s="611"/>
      <c r="AC29" s="611"/>
      <c r="AD29" s="611"/>
      <c r="AE29" s="154"/>
      <c r="AF29" s="154"/>
      <c r="AG29" s="154"/>
      <c r="AH29" s="154"/>
      <c r="AI29" s="154"/>
      <c r="AJ29" s="154"/>
      <c r="AK29" s="611"/>
      <c r="AL29" s="611"/>
      <c r="AM29" s="611"/>
      <c r="AN29" s="611"/>
      <c r="AO29" s="611"/>
      <c r="AP29" s="611"/>
      <c r="AQ29" s="154"/>
      <c r="AR29" s="154"/>
      <c r="AS29" s="154"/>
      <c r="AT29" s="154"/>
      <c r="AU29" s="154"/>
      <c r="AV29" s="154"/>
      <c r="AW29" s="611"/>
      <c r="AX29" s="611"/>
      <c r="AY29" s="611"/>
      <c r="AZ29" s="611"/>
      <c r="BA29" s="611"/>
      <c r="BB29" s="611"/>
      <c r="BC29" s="154"/>
      <c r="BD29" s="154"/>
      <c r="BE29" s="154"/>
      <c r="BF29" s="154"/>
      <c r="BG29" s="154"/>
      <c r="BH29" s="154"/>
      <c r="BI29" s="154"/>
      <c r="BJ29" s="154"/>
      <c r="BK29" s="611"/>
      <c r="BL29" s="611"/>
      <c r="BM29" s="611"/>
      <c r="BN29" s="611"/>
      <c r="BO29" s="611"/>
      <c r="BP29" s="611"/>
      <c r="BQ29" s="611"/>
      <c r="BR29" s="611"/>
      <c r="BS29" s="611"/>
      <c r="BT29" s="611"/>
      <c r="BU29" s="611"/>
      <c r="BV29" s="611"/>
      <c r="BW29" s="611"/>
      <c r="BX29" s="611"/>
      <c r="BY29" s="611"/>
      <c r="BZ29" s="612"/>
    </row>
    <row r="30" spans="1:79" ht="18" customHeight="1">
      <c r="A30" s="1"/>
      <c r="B30" s="479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611"/>
      <c r="Z30" s="611"/>
      <c r="AA30" s="611"/>
      <c r="AB30" s="611"/>
      <c r="AC30" s="611"/>
      <c r="AD30" s="611"/>
      <c r="AE30" s="154"/>
      <c r="AF30" s="154"/>
      <c r="AG30" s="154"/>
      <c r="AH30" s="154"/>
      <c r="AI30" s="154"/>
      <c r="AJ30" s="154"/>
      <c r="AK30" s="611"/>
      <c r="AL30" s="611"/>
      <c r="AM30" s="611"/>
      <c r="AN30" s="611"/>
      <c r="AO30" s="611"/>
      <c r="AP30" s="611"/>
      <c r="AQ30" s="154"/>
      <c r="AR30" s="154"/>
      <c r="AS30" s="154"/>
      <c r="AT30" s="154"/>
      <c r="AU30" s="154"/>
      <c r="AV30" s="154"/>
      <c r="AW30" s="611"/>
      <c r="AX30" s="611"/>
      <c r="AY30" s="611"/>
      <c r="AZ30" s="611"/>
      <c r="BA30" s="611"/>
      <c r="BB30" s="611"/>
      <c r="BC30" s="154"/>
      <c r="BD30" s="154"/>
      <c r="BE30" s="154"/>
      <c r="BF30" s="154"/>
      <c r="BG30" s="154"/>
      <c r="BH30" s="154"/>
      <c r="BI30" s="154"/>
      <c r="BJ30" s="154"/>
      <c r="BK30" s="611"/>
      <c r="BL30" s="611"/>
      <c r="BM30" s="611"/>
      <c r="BN30" s="611"/>
      <c r="BO30" s="611"/>
      <c r="BP30" s="611"/>
      <c r="BQ30" s="611"/>
      <c r="BR30" s="611"/>
      <c r="BS30" s="611"/>
      <c r="BT30" s="611"/>
      <c r="BU30" s="611"/>
      <c r="BV30" s="611"/>
      <c r="BW30" s="611"/>
      <c r="BX30" s="611"/>
      <c r="BY30" s="611"/>
      <c r="BZ30" s="612"/>
    </row>
    <row r="31" spans="1:79" ht="30" customHeight="1" thickBot="1">
      <c r="A31" s="1"/>
      <c r="B31" s="584" t="s">
        <v>140</v>
      </c>
      <c r="C31" s="585"/>
      <c r="D31" s="585"/>
      <c r="E31" s="585"/>
      <c r="F31" s="585"/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Q31" s="585"/>
      <c r="R31" s="585"/>
      <c r="S31" s="585"/>
      <c r="T31" s="585"/>
      <c r="U31" s="585"/>
      <c r="V31" s="585"/>
      <c r="W31" s="585"/>
      <c r="X31" s="585"/>
      <c r="Y31" s="585"/>
      <c r="Z31" s="585"/>
      <c r="AA31" s="585"/>
      <c r="AB31" s="585"/>
      <c r="AC31" s="585"/>
      <c r="AD31" s="585"/>
      <c r="AE31" s="585"/>
      <c r="AF31" s="585"/>
      <c r="AG31" s="585"/>
      <c r="AH31" s="585"/>
      <c r="AI31" s="585"/>
      <c r="AJ31" s="585"/>
      <c r="AK31" s="585"/>
      <c r="AL31" s="585"/>
      <c r="AM31" s="585"/>
      <c r="AN31" s="585"/>
      <c r="AO31" s="585"/>
      <c r="AP31" s="585"/>
      <c r="AQ31" s="585"/>
      <c r="AR31" s="585"/>
      <c r="AS31" s="585"/>
      <c r="AT31" s="585"/>
      <c r="AU31" s="585"/>
      <c r="AV31" s="585"/>
      <c r="AW31" s="585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2"/>
      <c r="BK31" s="619" t="s">
        <v>206</v>
      </c>
      <c r="BL31" s="620"/>
      <c r="BM31" s="621">
        <f>+BM21+BM22</f>
        <v>250</v>
      </c>
      <c r="BN31" s="621"/>
      <c r="BO31" s="621"/>
      <c r="BP31" s="621"/>
      <c r="BQ31" s="621"/>
      <c r="BR31" s="621"/>
      <c r="BS31" s="621"/>
      <c r="BT31" s="621"/>
      <c r="BU31" s="621"/>
      <c r="BV31" s="621"/>
      <c r="BW31" s="621"/>
      <c r="BX31" s="621"/>
      <c r="BY31" s="621"/>
      <c r="BZ31" s="622"/>
      <c r="CA31" s="52">
        <f>+BM31</f>
        <v>250</v>
      </c>
    </row>
    <row r="32" spans="1:79" ht="50.1" customHeight="1" thickBot="1">
      <c r="A32" s="146" t="s">
        <v>141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</row>
    <row r="33" spans="1:79" ht="20.100000000000001" customHeight="1">
      <c r="A33" s="1"/>
      <c r="B33" s="613" t="s">
        <v>142</v>
      </c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  <c r="O33" s="614"/>
      <c r="P33" s="614"/>
      <c r="Q33" s="614"/>
      <c r="R33" s="614"/>
      <c r="S33" s="614"/>
      <c r="T33" s="614"/>
      <c r="U33" s="614"/>
      <c r="V33" s="614"/>
      <c r="W33" s="614"/>
      <c r="X33" s="614"/>
      <c r="Y33" s="614"/>
      <c r="Z33" s="614"/>
      <c r="AA33" s="614"/>
      <c r="AB33" s="614"/>
      <c r="AC33" s="614"/>
      <c r="AD33" s="614"/>
      <c r="AE33" s="614"/>
      <c r="AF33" s="614"/>
      <c r="AG33" s="614"/>
      <c r="AH33" s="614"/>
      <c r="AI33" s="614"/>
      <c r="AJ33" s="614"/>
      <c r="AK33" s="614"/>
      <c r="AL33" s="614"/>
      <c r="AM33" s="614"/>
      <c r="AN33" s="614"/>
      <c r="AO33" s="614"/>
      <c r="AP33" s="614"/>
      <c r="AQ33" s="614"/>
      <c r="AR33" s="614"/>
      <c r="AS33" s="614"/>
      <c r="AT33" s="614"/>
      <c r="AU33" s="614"/>
      <c r="AV33" s="614"/>
      <c r="AW33" s="614"/>
      <c r="AX33" s="614"/>
      <c r="AY33" s="614"/>
      <c r="AZ33" s="614"/>
      <c r="BA33" s="614"/>
      <c r="BB33" s="614"/>
      <c r="BC33" s="614"/>
      <c r="BD33" s="614"/>
      <c r="BE33" s="614"/>
      <c r="BF33" s="614"/>
      <c r="BG33" s="614"/>
      <c r="BH33" s="614"/>
      <c r="BI33" s="614"/>
      <c r="BJ33" s="614"/>
      <c r="BK33" s="614"/>
      <c r="BL33" s="614"/>
      <c r="BM33" s="614"/>
      <c r="BN33" s="614"/>
      <c r="BO33" s="614"/>
      <c r="BP33" s="614"/>
      <c r="BQ33" s="614"/>
      <c r="BR33" s="614"/>
      <c r="BS33" s="614"/>
      <c r="BT33" s="614"/>
      <c r="BU33" s="614"/>
      <c r="BV33" s="614"/>
      <c r="BW33" s="614"/>
      <c r="BX33" s="614"/>
      <c r="BY33" s="614"/>
      <c r="BZ33" s="615"/>
    </row>
    <row r="34" spans="1:79" ht="20.100000000000001" customHeight="1">
      <c r="A34" s="1"/>
      <c r="B34" s="616" t="s">
        <v>143</v>
      </c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 t="s">
        <v>144</v>
      </c>
      <c r="T34" s="617"/>
      <c r="U34" s="617"/>
      <c r="V34" s="617"/>
      <c r="W34" s="617"/>
      <c r="X34" s="617"/>
      <c r="Y34" s="617"/>
      <c r="Z34" s="617"/>
      <c r="AA34" s="617"/>
      <c r="AB34" s="617"/>
      <c r="AC34" s="617"/>
      <c r="AD34" s="617"/>
      <c r="AE34" s="617" t="s">
        <v>145</v>
      </c>
      <c r="AF34" s="617"/>
      <c r="AG34" s="617"/>
      <c r="AH34" s="617"/>
      <c r="AI34" s="617"/>
      <c r="AJ34" s="617"/>
      <c r="AK34" s="617"/>
      <c r="AL34" s="617"/>
      <c r="AM34" s="617"/>
      <c r="AN34" s="617"/>
      <c r="AO34" s="617"/>
      <c r="AP34" s="617"/>
      <c r="AQ34" s="617" t="s">
        <v>146</v>
      </c>
      <c r="AR34" s="617"/>
      <c r="AS34" s="617"/>
      <c r="AT34" s="617"/>
      <c r="AU34" s="617"/>
      <c r="AV34" s="617"/>
      <c r="AW34" s="617"/>
      <c r="AX34" s="617"/>
      <c r="AY34" s="617"/>
      <c r="AZ34" s="617"/>
      <c r="BA34" s="617"/>
      <c r="BB34" s="617"/>
      <c r="BC34" s="617" t="s">
        <v>147</v>
      </c>
      <c r="BD34" s="617"/>
      <c r="BE34" s="617"/>
      <c r="BF34" s="617"/>
      <c r="BG34" s="617"/>
      <c r="BH34" s="617"/>
      <c r="BI34" s="617"/>
      <c r="BJ34" s="617"/>
      <c r="BK34" s="617"/>
      <c r="BL34" s="617"/>
      <c r="BM34" s="617"/>
      <c r="BN34" s="617"/>
      <c r="BO34" s="617" t="s">
        <v>148</v>
      </c>
      <c r="BP34" s="617"/>
      <c r="BQ34" s="617"/>
      <c r="BR34" s="617"/>
      <c r="BS34" s="617"/>
      <c r="BT34" s="617"/>
      <c r="BU34" s="617"/>
      <c r="BV34" s="617"/>
      <c r="BW34" s="617"/>
      <c r="BX34" s="617"/>
      <c r="BY34" s="617"/>
      <c r="BZ34" s="618"/>
    </row>
    <row r="35" spans="1:79" ht="20.100000000000001" customHeight="1">
      <c r="A35" s="1"/>
      <c r="B35" s="623" t="s">
        <v>149</v>
      </c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261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3"/>
      <c r="AE35" s="261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26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3"/>
      <c r="BC35" s="261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3"/>
      <c r="BO35" s="261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340"/>
    </row>
    <row r="36" spans="1:79" ht="20.100000000000001" customHeight="1">
      <c r="A36" s="1"/>
      <c r="B36" s="623" t="s">
        <v>150</v>
      </c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4"/>
      <c r="P36" s="624"/>
      <c r="Q36" s="624"/>
      <c r="R36" s="624"/>
      <c r="S36" s="261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3"/>
      <c r="AE36" s="261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3"/>
      <c r="AQ36" s="261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3"/>
      <c r="BC36" s="261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3"/>
      <c r="BO36" s="261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340"/>
    </row>
    <row r="37" spans="1:79" ht="20.100000000000001" customHeight="1">
      <c r="A37" s="1"/>
      <c r="B37" s="623" t="s">
        <v>151</v>
      </c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4"/>
      <c r="P37" s="624"/>
      <c r="Q37" s="624"/>
      <c r="R37" s="624"/>
      <c r="S37" s="261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3"/>
      <c r="AE37" s="261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3"/>
      <c r="AQ37" s="261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3"/>
      <c r="BC37" s="261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3"/>
      <c r="BO37" s="261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340"/>
    </row>
    <row r="38" spans="1:79" ht="20.100000000000001" customHeight="1">
      <c r="A38" s="1"/>
      <c r="B38" s="623" t="s">
        <v>152</v>
      </c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261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3"/>
      <c r="AE38" s="261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3"/>
      <c r="AQ38" s="261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3"/>
      <c r="BC38" s="261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3"/>
      <c r="BO38" s="261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340"/>
    </row>
    <row r="39" spans="1:79" ht="20.100000000000001" customHeight="1">
      <c r="A39" s="1"/>
      <c r="B39" s="623" t="s">
        <v>153</v>
      </c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261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3"/>
      <c r="AE39" s="261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3"/>
      <c r="AQ39" s="261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3"/>
      <c r="BC39" s="261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3"/>
      <c r="BO39" s="261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340"/>
    </row>
    <row r="40" spans="1:79" ht="20.100000000000001" customHeight="1">
      <c r="A40" s="1"/>
      <c r="B40" s="623" t="s">
        <v>154</v>
      </c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261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3"/>
      <c r="AE40" s="261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3"/>
      <c r="AQ40" s="261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3"/>
      <c r="BC40" s="261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3"/>
      <c r="BO40" s="261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340"/>
    </row>
    <row r="41" spans="1:79" ht="20.100000000000001" customHeight="1">
      <c r="A41" s="1"/>
      <c r="B41" s="623" t="s">
        <v>49</v>
      </c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5"/>
      <c r="T41" s="626"/>
      <c r="U41" s="626"/>
      <c r="V41" s="626"/>
      <c r="W41" s="626"/>
      <c r="X41" s="626"/>
      <c r="Y41" s="626"/>
      <c r="Z41" s="626"/>
      <c r="AA41" s="626"/>
      <c r="AB41" s="626"/>
      <c r="AC41" s="626"/>
      <c r="AD41" s="627"/>
      <c r="AE41" s="625"/>
      <c r="AF41" s="626"/>
      <c r="AG41" s="626"/>
      <c r="AH41" s="626"/>
      <c r="AI41" s="626"/>
      <c r="AJ41" s="626"/>
      <c r="AK41" s="626"/>
      <c r="AL41" s="626"/>
      <c r="AM41" s="626"/>
      <c r="AN41" s="626"/>
      <c r="AO41" s="626"/>
      <c r="AP41" s="627"/>
      <c r="AQ41" s="625"/>
      <c r="AR41" s="626"/>
      <c r="AS41" s="626"/>
      <c r="AT41" s="626"/>
      <c r="AU41" s="626"/>
      <c r="AV41" s="626"/>
      <c r="AW41" s="626"/>
      <c r="AX41" s="626"/>
      <c r="AY41" s="626"/>
      <c r="AZ41" s="626"/>
      <c r="BA41" s="626"/>
      <c r="BB41" s="627"/>
      <c r="BC41" s="625"/>
      <c r="BD41" s="626"/>
      <c r="BE41" s="626"/>
      <c r="BF41" s="626"/>
      <c r="BG41" s="626"/>
      <c r="BH41" s="626"/>
      <c r="BI41" s="626"/>
      <c r="BJ41" s="626"/>
      <c r="BK41" s="626"/>
      <c r="BL41" s="626"/>
      <c r="BM41" s="626"/>
      <c r="BN41" s="627"/>
      <c r="BO41" s="261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340"/>
    </row>
    <row r="42" spans="1:79" ht="20.100000000000001" customHeight="1">
      <c r="A42" s="1"/>
      <c r="B42" s="628"/>
      <c r="C42" s="629"/>
      <c r="D42" s="629"/>
      <c r="E42" s="629"/>
      <c r="F42" s="629"/>
      <c r="G42" s="629"/>
      <c r="H42" s="629"/>
      <c r="I42" s="629"/>
      <c r="J42" s="629"/>
      <c r="K42" s="629"/>
      <c r="L42" s="629"/>
      <c r="M42" s="629"/>
      <c r="N42" s="629"/>
      <c r="O42" s="629"/>
      <c r="P42" s="629"/>
      <c r="Q42" s="629"/>
      <c r="R42" s="629"/>
      <c r="S42" s="629"/>
      <c r="T42" s="629"/>
      <c r="U42" s="629"/>
      <c r="V42" s="629"/>
      <c r="W42" s="629"/>
      <c r="X42" s="629"/>
      <c r="Y42" s="629"/>
      <c r="Z42" s="629"/>
      <c r="AA42" s="629"/>
      <c r="AB42" s="629"/>
      <c r="AC42" s="629"/>
      <c r="AD42" s="629"/>
      <c r="AE42" s="629"/>
      <c r="AF42" s="629"/>
      <c r="AG42" s="629"/>
      <c r="AH42" s="629"/>
      <c r="AI42" s="629"/>
      <c r="AJ42" s="629"/>
      <c r="AK42" s="629"/>
      <c r="AL42" s="629"/>
      <c r="AM42" s="629"/>
      <c r="AN42" s="629"/>
      <c r="AO42" s="629"/>
      <c r="AP42" s="629"/>
      <c r="AQ42" s="629"/>
      <c r="AR42" s="629"/>
      <c r="AS42" s="629"/>
      <c r="AT42" s="629"/>
      <c r="AU42" s="629"/>
      <c r="AV42" s="629"/>
      <c r="AW42" s="629"/>
      <c r="AX42" s="629"/>
      <c r="AY42" s="629"/>
      <c r="AZ42" s="629"/>
      <c r="BA42" s="629"/>
      <c r="BB42" s="629"/>
      <c r="BC42" s="629"/>
      <c r="BD42" s="629"/>
      <c r="BE42" s="629"/>
      <c r="BF42" s="629"/>
      <c r="BG42" s="629"/>
      <c r="BH42" s="629"/>
      <c r="BI42" s="629"/>
      <c r="BJ42" s="629"/>
      <c r="BK42" s="629"/>
      <c r="BL42" s="629"/>
      <c r="BM42" s="629"/>
      <c r="BN42" s="629"/>
      <c r="BO42" s="629"/>
      <c r="BP42" s="629"/>
      <c r="BQ42" s="629"/>
      <c r="BR42" s="629"/>
      <c r="BS42" s="629"/>
      <c r="BT42" s="629"/>
      <c r="BU42" s="629"/>
      <c r="BV42" s="629"/>
      <c r="BW42" s="629"/>
      <c r="BX42" s="629"/>
      <c r="BY42" s="629"/>
      <c r="BZ42" s="630"/>
    </row>
    <row r="43" spans="1:79" ht="21.9" customHeight="1" thickBot="1">
      <c r="A43" s="1"/>
      <c r="B43" s="631" t="s">
        <v>155</v>
      </c>
      <c r="C43" s="632"/>
      <c r="D43" s="632"/>
      <c r="E43" s="632"/>
      <c r="F43" s="632"/>
      <c r="G43" s="632"/>
      <c r="H43" s="632"/>
      <c r="I43" s="632"/>
      <c r="J43" s="632"/>
      <c r="K43" s="632"/>
      <c r="L43" s="632"/>
      <c r="M43" s="632"/>
      <c r="N43" s="632"/>
      <c r="O43" s="632"/>
      <c r="P43" s="632"/>
      <c r="Q43" s="632"/>
      <c r="R43" s="632"/>
      <c r="S43" s="632"/>
      <c r="T43" s="632"/>
      <c r="U43" s="632"/>
      <c r="V43" s="632"/>
      <c r="W43" s="632"/>
      <c r="X43" s="632"/>
      <c r="Y43" s="632"/>
      <c r="Z43" s="632"/>
      <c r="AA43" s="632"/>
      <c r="AB43" s="632"/>
      <c r="AC43" s="632"/>
      <c r="AD43" s="632"/>
      <c r="AE43" s="632"/>
      <c r="AF43" s="632"/>
      <c r="AG43" s="632"/>
      <c r="AH43" s="632"/>
      <c r="AI43" s="632"/>
      <c r="AJ43" s="632"/>
      <c r="AK43" s="632"/>
      <c r="AL43" s="632"/>
      <c r="AM43" s="632"/>
      <c r="AN43" s="632"/>
      <c r="AO43" s="632"/>
      <c r="AP43" s="632"/>
      <c r="AQ43" s="632"/>
      <c r="AR43" s="632"/>
      <c r="AS43" s="632"/>
      <c r="AT43" s="632"/>
      <c r="AU43" s="632"/>
      <c r="AV43" s="632"/>
      <c r="AW43" s="632"/>
      <c r="AX43" s="632"/>
      <c r="AY43" s="632"/>
      <c r="AZ43" s="632"/>
      <c r="BA43" s="632"/>
      <c r="BB43" s="633"/>
      <c r="BC43" s="634" t="s">
        <v>21</v>
      </c>
      <c r="BD43" s="635"/>
      <c r="BE43" s="20"/>
      <c r="BF43" s="636" t="s">
        <v>91</v>
      </c>
      <c r="BG43" s="637"/>
      <c r="BH43" s="637"/>
      <c r="BI43" s="637"/>
      <c r="BJ43" s="637"/>
      <c r="BK43" s="637"/>
      <c r="BL43" s="637"/>
      <c r="BM43" s="637"/>
      <c r="BN43" s="637"/>
      <c r="BO43" s="637"/>
      <c r="BP43" s="637"/>
      <c r="BQ43" s="637"/>
      <c r="BR43" s="637"/>
      <c r="BS43" s="637"/>
      <c r="BT43" s="637"/>
      <c r="BU43" s="637"/>
      <c r="BV43" s="637"/>
      <c r="BW43" s="637"/>
      <c r="BX43" s="637"/>
      <c r="BY43" s="637"/>
      <c r="BZ43" s="638"/>
      <c r="CA43" s="53">
        <v>0</v>
      </c>
    </row>
    <row r="44" spans="1:79" ht="30" customHeight="1" thickBot="1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29"/>
      <c r="P44" s="629"/>
      <c r="Q44" s="629"/>
      <c r="R44" s="629"/>
      <c r="S44" s="629"/>
      <c r="T44" s="629"/>
      <c r="U44" s="629"/>
      <c r="V44" s="629"/>
      <c r="W44" s="629"/>
      <c r="X44" s="629"/>
      <c r="Y44" s="629"/>
      <c r="Z44" s="629"/>
      <c r="AA44" s="629"/>
      <c r="AB44" s="629"/>
      <c r="AC44" s="629"/>
      <c r="AD44" s="629"/>
      <c r="AE44" s="629"/>
      <c r="AF44" s="629"/>
      <c r="AG44" s="629"/>
      <c r="AH44" s="629"/>
      <c r="AI44" s="629"/>
      <c r="AJ44" s="629"/>
      <c r="AK44" s="629"/>
      <c r="AL44" s="629"/>
      <c r="AM44" s="629"/>
      <c r="AN44" s="629"/>
      <c r="AO44" s="629"/>
      <c r="AP44" s="629"/>
      <c r="AQ44" s="629"/>
      <c r="AR44" s="629"/>
      <c r="AS44" s="629"/>
      <c r="AT44" s="629"/>
      <c r="AU44" s="629"/>
      <c r="AV44" s="629"/>
      <c r="AW44" s="629"/>
      <c r="AX44" s="629"/>
      <c r="AY44" s="629"/>
      <c r="AZ44" s="629"/>
      <c r="BA44" s="629"/>
      <c r="BB44" s="629"/>
      <c r="BC44" s="629"/>
      <c r="BD44" s="629"/>
      <c r="BE44" s="629"/>
      <c r="BF44" s="629"/>
      <c r="BG44" s="629"/>
      <c r="BH44" s="629"/>
      <c r="BI44" s="629"/>
      <c r="BJ44" s="629"/>
      <c r="BK44" s="629"/>
      <c r="BL44" s="629"/>
      <c r="BM44" s="629"/>
      <c r="BN44" s="629"/>
      <c r="BO44" s="629"/>
      <c r="BP44" s="629"/>
      <c r="BQ44" s="629"/>
      <c r="BR44" s="629"/>
      <c r="BS44" s="629"/>
      <c r="BT44" s="629"/>
      <c r="BU44" s="629"/>
      <c r="BV44" s="629"/>
      <c r="BW44" s="629"/>
      <c r="BX44" s="629"/>
      <c r="BY44" s="629"/>
      <c r="BZ44" s="629"/>
    </row>
    <row r="45" spans="1:79" ht="20.100000000000001" customHeight="1">
      <c r="A45" s="1"/>
      <c r="B45" s="457" t="s">
        <v>156</v>
      </c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N45" s="458"/>
      <c r="O45" s="458"/>
      <c r="P45" s="458"/>
      <c r="Q45" s="458"/>
      <c r="R45" s="458"/>
      <c r="S45" s="458"/>
      <c r="T45" s="458"/>
      <c r="U45" s="458"/>
      <c r="V45" s="458"/>
      <c r="W45" s="458"/>
      <c r="X45" s="458"/>
      <c r="Y45" s="458"/>
      <c r="Z45" s="458"/>
      <c r="AA45" s="458"/>
      <c r="AB45" s="458"/>
      <c r="AC45" s="458"/>
      <c r="AD45" s="458"/>
      <c r="AE45" s="458"/>
      <c r="AF45" s="458"/>
      <c r="AG45" s="458"/>
      <c r="AH45" s="458"/>
      <c r="AI45" s="458"/>
      <c r="AJ45" s="458"/>
      <c r="AK45" s="458"/>
      <c r="AL45" s="458"/>
      <c r="AM45" s="639"/>
      <c r="AN45" s="457" t="s">
        <v>157</v>
      </c>
      <c r="AO45" s="458"/>
      <c r="AP45" s="458"/>
      <c r="AQ45" s="458"/>
      <c r="AR45" s="458"/>
      <c r="AS45" s="458"/>
      <c r="AT45" s="458"/>
      <c r="AU45" s="458"/>
      <c r="AV45" s="458"/>
      <c r="AW45" s="458"/>
      <c r="AX45" s="458"/>
      <c r="AY45" s="458"/>
      <c r="AZ45" s="458"/>
      <c r="BA45" s="458"/>
      <c r="BB45" s="458"/>
      <c r="BC45" s="458"/>
      <c r="BD45" s="458"/>
      <c r="BE45" s="458"/>
      <c r="BF45" s="458"/>
      <c r="BG45" s="458"/>
      <c r="BH45" s="458"/>
      <c r="BI45" s="458"/>
      <c r="BJ45" s="458"/>
      <c r="BK45" s="458"/>
      <c r="BL45" s="458"/>
      <c r="BM45" s="458"/>
      <c r="BN45" s="458"/>
      <c r="BO45" s="458"/>
      <c r="BP45" s="458"/>
      <c r="BQ45" s="458"/>
      <c r="BR45" s="458"/>
      <c r="BS45" s="458"/>
      <c r="BT45" s="458"/>
      <c r="BU45" s="458"/>
      <c r="BV45" s="458"/>
      <c r="BW45" s="458"/>
      <c r="BX45" s="458"/>
      <c r="BY45" s="458"/>
      <c r="BZ45" s="639"/>
    </row>
    <row r="46" spans="1:79" ht="20.100000000000001" customHeight="1">
      <c r="A46" s="1"/>
      <c r="B46" s="640" t="s">
        <v>143</v>
      </c>
      <c r="C46" s="641"/>
      <c r="D46" s="641"/>
      <c r="E46" s="641"/>
      <c r="F46" s="641"/>
      <c r="G46" s="641"/>
      <c r="H46" s="641"/>
      <c r="I46" s="641"/>
      <c r="J46" s="641"/>
      <c r="K46" s="641"/>
      <c r="L46" s="641"/>
      <c r="M46" s="641"/>
      <c r="N46" s="641"/>
      <c r="O46" s="641"/>
      <c r="P46" s="641"/>
      <c r="Q46" s="641"/>
      <c r="R46" s="641"/>
      <c r="S46" s="641"/>
      <c r="T46" s="641"/>
      <c r="U46" s="641"/>
      <c r="V46" s="641"/>
      <c r="W46" s="641"/>
      <c r="X46" s="641"/>
      <c r="Y46" s="641"/>
      <c r="Z46" s="641"/>
      <c r="AA46" s="641"/>
      <c r="AB46" s="641"/>
      <c r="AC46" s="641"/>
      <c r="AD46" s="641"/>
      <c r="AE46" s="641"/>
      <c r="AF46" s="641"/>
      <c r="AG46" s="641"/>
      <c r="AH46" s="641"/>
      <c r="AI46" s="641"/>
      <c r="AJ46" s="641"/>
      <c r="AK46" s="641"/>
      <c r="AL46" s="641"/>
      <c r="AM46" s="642"/>
      <c r="AN46" s="643" t="s">
        <v>143</v>
      </c>
      <c r="AO46" s="641"/>
      <c r="AP46" s="641"/>
      <c r="AQ46" s="641"/>
      <c r="AR46" s="641"/>
      <c r="AS46" s="641"/>
      <c r="AT46" s="641"/>
      <c r="AU46" s="641"/>
      <c r="AV46" s="641"/>
      <c r="AW46" s="641"/>
      <c r="AX46" s="641"/>
      <c r="AY46" s="641"/>
      <c r="AZ46" s="641"/>
      <c r="BA46" s="641"/>
      <c r="BB46" s="641"/>
      <c r="BC46" s="641"/>
      <c r="BD46" s="641"/>
      <c r="BE46" s="641"/>
      <c r="BF46" s="641"/>
      <c r="BG46" s="641"/>
      <c r="BH46" s="641"/>
      <c r="BI46" s="641"/>
      <c r="BJ46" s="641"/>
      <c r="BK46" s="641"/>
      <c r="BL46" s="641"/>
      <c r="BM46" s="641"/>
      <c r="BN46" s="641"/>
      <c r="BO46" s="641"/>
      <c r="BP46" s="641"/>
      <c r="BQ46" s="641"/>
      <c r="BR46" s="641"/>
      <c r="BS46" s="641"/>
      <c r="BT46" s="641"/>
      <c r="BU46" s="641"/>
      <c r="BV46" s="641"/>
      <c r="BW46" s="641"/>
      <c r="BX46" s="641"/>
      <c r="BY46" s="641"/>
      <c r="BZ46" s="644"/>
    </row>
    <row r="47" spans="1:79" ht="20.100000000000001" customHeight="1">
      <c r="A47" s="1"/>
      <c r="B47" s="645" t="s">
        <v>149</v>
      </c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7"/>
      <c r="U47" s="261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3"/>
      <c r="AN47" s="645" t="s">
        <v>149</v>
      </c>
      <c r="AO47" s="646"/>
      <c r="AP47" s="646"/>
      <c r="AQ47" s="646"/>
      <c r="AR47" s="646"/>
      <c r="AS47" s="646"/>
      <c r="AT47" s="646"/>
      <c r="AU47" s="646"/>
      <c r="AV47" s="646"/>
      <c r="AW47" s="646"/>
      <c r="AX47" s="646"/>
      <c r="AY47" s="646"/>
      <c r="AZ47" s="646"/>
      <c r="BA47" s="646"/>
      <c r="BB47" s="646"/>
      <c r="BC47" s="646"/>
      <c r="BD47" s="646"/>
      <c r="BE47" s="646"/>
      <c r="BF47" s="647"/>
      <c r="BG47" s="261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340"/>
    </row>
    <row r="48" spans="1:79" ht="20.100000000000001" customHeight="1">
      <c r="A48" s="1"/>
      <c r="B48" s="645" t="s">
        <v>150</v>
      </c>
      <c r="C48" s="646"/>
      <c r="D48" s="646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7"/>
      <c r="U48" s="261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3"/>
      <c r="AN48" s="645" t="s">
        <v>150</v>
      </c>
      <c r="AO48" s="646"/>
      <c r="AP48" s="646"/>
      <c r="AQ48" s="646"/>
      <c r="AR48" s="646"/>
      <c r="AS48" s="646"/>
      <c r="AT48" s="646"/>
      <c r="AU48" s="646"/>
      <c r="AV48" s="646"/>
      <c r="AW48" s="646"/>
      <c r="AX48" s="646"/>
      <c r="AY48" s="646"/>
      <c r="AZ48" s="646"/>
      <c r="BA48" s="646"/>
      <c r="BB48" s="646"/>
      <c r="BC48" s="646"/>
      <c r="BD48" s="646"/>
      <c r="BE48" s="646"/>
      <c r="BF48" s="647"/>
      <c r="BG48" s="261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340"/>
    </row>
    <row r="49" spans="1:78" ht="20.100000000000001" customHeight="1">
      <c r="A49" s="1"/>
      <c r="B49" s="645" t="s">
        <v>151</v>
      </c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7"/>
      <c r="U49" s="261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3"/>
      <c r="AN49" s="645" t="s">
        <v>151</v>
      </c>
      <c r="AO49" s="646"/>
      <c r="AP49" s="646"/>
      <c r="AQ49" s="646"/>
      <c r="AR49" s="646"/>
      <c r="AS49" s="646"/>
      <c r="AT49" s="646"/>
      <c r="AU49" s="646"/>
      <c r="AV49" s="646"/>
      <c r="AW49" s="646"/>
      <c r="AX49" s="646"/>
      <c r="AY49" s="646"/>
      <c r="AZ49" s="646"/>
      <c r="BA49" s="646"/>
      <c r="BB49" s="646"/>
      <c r="BC49" s="646"/>
      <c r="BD49" s="646"/>
      <c r="BE49" s="646"/>
      <c r="BF49" s="647"/>
      <c r="BG49" s="261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340"/>
    </row>
    <row r="50" spans="1:78" ht="20.100000000000001" customHeight="1">
      <c r="A50" s="1"/>
      <c r="B50" s="645" t="s">
        <v>152</v>
      </c>
      <c r="C50" s="646"/>
      <c r="D50" s="646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7"/>
      <c r="U50" s="261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3"/>
      <c r="AN50" s="645" t="s">
        <v>152</v>
      </c>
      <c r="AO50" s="646"/>
      <c r="AP50" s="646"/>
      <c r="AQ50" s="646"/>
      <c r="AR50" s="646"/>
      <c r="AS50" s="646"/>
      <c r="AT50" s="646"/>
      <c r="AU50" s="646"/>
      <c r="AV50" s="646"/>
      <c r="AW50" s="646"/>
      <c r="AX50" s="646"/>
      <c r="AY50" s="646"/>
      <c r="AZ50" s="646"/>
      <c r="BA50" s="646"/>
      <c r="BB50" s="646"/>
      <c r="BC50" s="646"/>
      <c r="BD50" s="646"/>
      <c r="BE50" s="646"/>
      <c r="BF50" s="647"/>
      <c r="BG50" s="261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340"/>
    </row>
    <row r="51" spans="1:78" ht="20.100000000000001" customHeight="1">
      <c r="A51" s="1"/>
      <c r="B51" s="645" t="s">
        <v>153</v>
      </c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646"/>
      <c r="Q51" s="646"/>
      <c r="R51" s="646"/>
      <c r="S51" s="646"/>
      <c r="T51" s="647"/>
      <c r="U51" s="261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3"/>
      <c r="AN51" s="645" t="s">
        <v>153</v>
      </c>
      <c r="AO51" s="646"/>
      <c r="AP51" s="646"/>
      <c r="AQ51" s="646"/>
      <c r="AR51" s="646"/>
      <c r="AS51" s="646"/>
      <c r="AT51" s="646"/>
      <c r="AU51" s="646"/>
      <c r="AV51" s="646"/>
      <c r="AW51" s="646"/>
      <c r="AX51" s="646"/>
      <c r="AY51" s="646"/>
      <c r="AZ51" s="646"/>
      <c r="BA51" s="646"/>
      <c r="BB51" s="646"/>
      <c r="BC51" s="646"/>
      <c r="BD51" s="646"/>
      <c r="BE51" s="646"/>
      <c r="BF51" s="647"/>
      <c r="BG51" s="261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340"/>
    </row>
    <row r="52" spans="1:78" ht="20.100000000000001" customHeight="1">
      <c r="A52" s="1"/>
      <c r="B52" s="645" t="s">
        <v>154</v>
      </c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646"/>
      <c r="Q52" s="646"/>
      <c r="R52" s="646"/>
      <c r="S52" s="646"/>
      <c r="T52" s="647"/>
      <c r="U52" s="261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3"/>
      <c r="AN52" s="645" t="s">
        <v>154</v>
      </c>
      <c r="AO52" s="646"/>
      <c r="AP52" s="646"/>
      <c r="AQ52" s="646"/>
      <c r="AR52" s="646"/>
      <c r="AS52" s="646"/>
      <c r="AT52" s="646"/>
      <c r="AU52" s="646"/>
      <c r="AV52" s="646"/>
      <c r="AW52" s="646"/>
      <c r="AX52" s="646"/>
      <c r="AY52" s="646"/>
      <c r="AZ52" s="646"/>
      <c r="BA52" s="646"/>
      <c r="BB52" s="646"/>
      <c r="BC52" s="646"/>
      <c r="BD52" s="646"/>
      <c r="BE52" s="646"/>
      <c r="BF52" s="647"/>
      <c r="BG52" s="261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340"/>
    </row>
    <row r="53" spans="1:78" ht="20.100000000000001" customHeight="1">
      <c r="A53" s="1"/>
      <c r="B53" s="664" t="s">
        <v>158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6"/>
      <c r="U53" s="147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9"/>
      <c r="AN53" s="664" t="s">
        <v>158</v>
      </c>
      <c r="AO53" s="665"/>
      <c r="AP53" s="665"/>
      <c r="AQ53" s="665"/>
      <c r="AR53" s="665"/>
      <c r="AS53" s="665"/>
      <c r="AT53" s="665"/>
      <c r="AU53" s="665"/>
      <c r="AV53" s="665"/>
      <c r="AW53" s="665"/>
      <c r="AX53" s="665"/>
      <c r="AY53" s="665"/>
      <c r="AZ53" s="665"/>
      <c r="BA53" s="665"/>
      <c r="BB53" s="665"/>
      <c r="BC53" s="665"/>
      <c r="BD53" s="665"/>
      <c r="BE53" s="665"/>
      <c r="BF53" s="666"/>
      <c r="BG53" s="147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667"/>
    </row>
    <row r="54" spans="1:78" ht="20.100000000000001" customHeight="1">
      <c r="A54" s="1"/>
      <c r="B54" s="648" t="s">
        <v>159</v>
      </c>
      <c r="C54" s="649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9"/>
      <c r="O54" s="649"/>
      <c r="P54" s="649"/>
      <c r="Q54" s="649"/>
      <c r="R54" s="649"/>
      <c r="S54" s="649"/>
      <c r="T54" s="650"/>
      <c r="U54" s="651"/>
      <c r="V54" s="652"/>
      <c r="W54" s="652"/>
      <c r="X54" s="652"/>
      <c r="Y54" s="652"/>
      <c r="Z54" s="652"/>
      <c r="AA54" s="652"/>
      <c r="AB54" s="652"/>
      <c r="AC54" s="652"/>
      <c r="AD54" s="652"/>
      <c r="AE54" s="652"/>
      <c r="AF54" s="652"/>
      <c r="AG54" s="652"/>
      <c r="AH54" s="652"/>
      <c r="AI54" s="652"/>
      <c r="AJ54" s="652"/>
      <c r="AK54" s="652"/>
      <c r="AL54" s="652"/>
      <c r="AM54" s="653"/>
      <c r="AN54" s="648" t="s">
        <v>160</v>
      </c>
      <c r="AO54" s="649"/>
      <c r="AP54" s="649"/>
      <c r="AQ54" s="649"/>
      <c r="AR54" s="649"/>
      <c r="AS54" s="649"/>
      <c r="AT54" s="649"/>
      <c r="AU54" s="649"/>
      <c r="AV54" s="649"/>
      <c r="AW54" s="649"/>
      <c r="AX54" s="649"/>
      <c r="AY54" s="649"/>
      <c r="AZ54" s="649"/>
      <c r="BA54" s="649"/>
      <c r="BB54" s="649"/>
      <c r="BC54" s="649"/>
      <c r="BD54" s="649"/>
      <c r="BE54" s="649"/>
      <c r="BF54" s="650"/>
      <c r="BG54" s="651"/>
      <c r="BH54" s="652"/>
      <c r="BI54" s="652"/>
      <c r="BJ54" s="652"/>
      <c r="BK54" s="652"/>
      <c r="BL54" s="652"/>
      <c r="BM54" s="652"/>
      <c r="BN54" s="652"/>
      <c r="BO54" s="652"/>
      <c r="BP54" s="652"/>
      <c r="BQ54" s="652"/>
      <c r="BR54" s="652"/>
      <c r="BS54" s="652"/>
      <c r="BT54" s="652"/>
      <c r="BU54" s="652"/>
      <c r="BV54" s="652"/>
      <c r="BW54" s="652"/>
      <c r="BX54" s="652"/>
      <c r="BY54" s="652"/>
      <c r="BZ54" s="653"/>
    </row>
    <row r="55" spans="1:78" ht="20.100000000000001" customHeight="1" thickBot="1">
      <c r="A55" s="1"/>
      <c r="B55" s="628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29"/>
      <c r="P55" s="629"/>
      <c r="Q55" s="629"/>
      <c r="R55" s="629"/>
      <c r="S55" s="629"/>
      <c r="T55" s="629"/>
      <c r="U55" s="629"/>
      <c r="V55" s="629"/>
      <c r="W55" s="629"/>
      <c r="X55" s="629"/>
      <c r="Y55" s="629"/>
      <c r="Z55" s="629"/>
      <c r="AA55" s="629"/>
      <c r="AB55" s="629"/>
      <c r="AC55" s="629"/>
      <c r="AD55" s="629"/>
      <c r="AE55" s="629"/>
      <c r="AF55" s="629"/>
      <c r="AG55" s="629"/>
      <c r="AH55" s="629"/>
      <c r="AI55" s="629"/>
      <c r="AJ55" s="629"/>
      <c r="AK55" s="629"/>
      <c r="AL55" s="629"/>
      <c r="AM55" s="629"/>
      <c r="AN55" s="629"/>
      <c r="AO55" s="629"/>
      <c r="AP55" s="629"/>
      <c r="AQ55" s="629"/>
      <c r="AR55" s="629"/>
      <c r="AS55" s="629"/>
      <c r="AT55" s="629"/>
      <c r="AU55" s="629"/>
      <c r="AV55" s="629"/>
      <c r="AW55" s="629"/>
      <c r="AX55" s="629"/>
      <c r="AY55" s="629"/>
      <c r="AZ55" s="629"/>
      <c r="BA55" s="629"/>
      <c r="BB55" s="629"/>
      <c r="BC55" s="629"/>
      <c r="BD55" s="629"/>
      <c r="BE55" s="629"/>
      <c r="BF55" s="629"/>
      <c r="BG55" s="629"/>
      <c r="BH55" s="629"/>
      <c r="BI55" s="629"/>
      <c r="BJ55" s="629"/>
      <c r="BK55" s="629"/>
      <c r="BL55" s="629"/>
      <c r="BM55" s="629"/>
      <c r="BN55" s="629"/>
      <c r="BO55" s="629"/>
      <c r="BP55" s="629"/>
      <c r="BQ55" s="629"/>
      <c r="BR55" s="629"/>
      <c r="BS55" s="629"/>
      <c r="BT55" s="629"/>
      <c r="BU55" s="629"/>
      <c r="BV55" s="629"/>
      <c r="BW55" s="629"/>
      <c r="BX55" s="629"/>
      <c r="BY55" s="629"/>
      <c r="BZ55" s="630"/>
    </row>
    <row r="56" spans="1:78" ht="35.1" customHeight="1" thickBot="1">
      <c r="A56" s="1"/>
      <c r="B56" s="654" t="s">
        <v>161</v>
      </c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5"/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  <c r="AA56" s="655"/>
      <c r="AB56" s="655"/>
      <c r="AC56" s="655"/>
      <c r="AD56" s="655"/>
      <c r="AE56" s="655"/>
      <c r="AF56" s="655"/>
      <c r="AG56" s="655"/>
      <c r="AH56" s="655"/>
      <c r="AI56" s="655"/>
      <c r="AJ56" s="655"/>
      <c r="AK56" s="655"/>
      <c r="AL56" s="655"/>
      <c r="AM56" s="655"/>
      <c r="AN56" s="655"/>
      <c r="AO56" s="655"/>
      <c r="AP56" s="655"/>
      <c r="AQ56" s="655"/>
      <c r="AR56" s="655"/>
      <c r="AS56" s="655"/>
      <c r="AT56" s="655"/>
      <c r="AU56" s="655"/>
      <c r="AV56" s="655"/>
      <c r="AW56" s="655"/>
      <c r="AX56" s="655"/>
      <c r="AY56" s="655"/>
      <c r="AZ56" s="655"/>
      <c r="BA56" s="655"/>
      <c r="BB56" s="656"/>
      <c r="BC56" s="657" t="s">
        <v>91</v>
      </c>
      <c r="BD56" s="658"/>
      <c r="BE56" s="658"/>
      <c r="BF56" s="658"/>
      <c r="BG56" s="658"/>
      <c r="BH56" s="658"/>
      <c r="BI56" s="658"/>
      <c r="BJ56" s="658"/>
      <c r="BK56" s="658"/>
      <c r="BL56" s="658"/>
      <c r="BM56" s="658"/>
      <c r="BN56" s="658"/>
      <c r="BO56" s="658"/>
      <c r="BP56" s="658"/>
      <c r="BQ56" s="658"/>
      <c r="BR56" s="658"/>
      <c r="BS56" s="658"/>
      <c r="BT56" s="658"/>
      <c r="BU56" s="658"/>
      <c r="BV56" s="658"/>
      <c r="BW56" s="658"/>
      <c r="BX56" s="658"/>
      <c r="BY56" s="658"/>
      <c r="BZ56" s="659"/>
    </row>
    <row r="57" spans="1:78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324" t="s">
        <v>162</v>
      </c>
      <c r="BU57" s="324"/>
      <c r="BV57" s="324"/>
      <c r="BW57" s="324"/>
      <c r="BX57" s="324"/>
      <c r="BY57" s="324"/>
      <c r="BZ57" s="1"/>
    </row>
  </sheetData>
  <mergeCells count="292">
    <mergeCell ref="B54:T54"/>
    <mergeCell ref="U54:AM54"/>
    <mergeCell ref="AN54:BF54"/>
    <mergeCell ref="BG54:BZ54"/>
    <mergeCell ref="B55:BZ55"/>
    <mergeCell ref="B56:BB56"/>
    <mergeCell ref="BC56:BZ56"/>
    <mergeCell ref="BT57:BY57"/>
    <mergeCell ref="H3:Z4"/>
    <mergeCell ref="AH3:AZ4"/>
    <mergeCell ref="B51:T51"/>
    <mergeCell ref="U51:AM51"/>
    <mergeCell ref="AN51:BF51"/>
    <mergeCell ref="BG51:BZ51"/>
    <mergeCell ref="B52:T52"/>
    <mergeCell ref="U52:AM52"/>
    <mergeCell ref="AN52:BF52"/>
    <mergeCell ref="BG52:BZ52"/>
    <mergeCell ref="B53:T53"/>
    <mergeCell ref="U53:AM53"/>
    <mergeCell ref="AN53:BF53"/>
    <mergeCell ref="BG53:BZ53"/>
    <mergeCell ref="B48:T48"/>
    <mergeCell ref="U48:AM48"/>
    <mergeCell ref="AN48:BF48"/>
    <mergeCell ref="BG48:BZ48"/>
    <mergeCell ref="B49:T49"/>
    <mergeCell ref="U49:AM49"/>
    <mergeCell ref="AN49:BF49"/>
    <mergeCell ref="BG49:BZ49"/>
    <mergeCell ref="B50:T50"/>
    <mergeCell ref="U50:AM50"/>
    <mergeCell ref="AN50:BF50"/>
    <mergeCell ref="BG50:BZ50"/>
    <mergeCell ref="A44:BZ44"/>
    <mergeCell ref="B45:AM45"/>
    <mergeCell ref="AN45:BZ45"/>
    <mergeCell ref="B46:AM46"/>
    <mergeCell ref="AN46:BZ46"/>
    <mergeCell ref="B47:T47"/>
    <mergeCell ref="U47:AM47"/>
    <mergeCell ref="AN47:BF47"/>
    <mergeCell ref="BG47:BZ47"/>
    <mergeCell ref="B41:R41"/>
    <mergeCell ref="S41:AD41"/>
    <mergeCell ref="AE41:AP41"/>
    <mergeCell ref="AQ41:BB41"/>
    <mergeCell ref="BC41:BN41"/>
    <mergeCell ref="BO41:BZ41"/>
    <mergeCell ref="B42:BZ42"/>
    <mergeCell ref="B43:BB43"/>
    <mergeCell ref="BC43:BD43"/>
    <mergeCell ref="BF43:BZ43"/>
    <mergeCell ref="B39:R39"/>
    <mergeCell ref="S39:AD39"/>
    <mergeCell ref="AE39:AP39"/>
    <mergeCell ref="AQ39:BB39"/>
    <mergeCell ref="BC39:BN39"/>
    <mergeCell ref="BO39:BZ39"/>
    <mergeCell ref="B40:R40"/>
    <mergeCell ref="S40:AD40"/>
    <mergeCell ref="AE40:AP40"/>
    <mergeCell ref="AQ40:BB40"/>
    <mergeCell ref="BC40:BN40"/>
    <mergeCell ref="BO40:BZ40"/>
    <mergeCell ref="B37:R37"/>
    <mergeCell ref="S37:AD37"/>
    <mergeCell ref="AE37:AP37"/>
    <mergeCell ref="AQ37:BB37"/>
    <mergeCell ref="BC37:BN37"/>
    <mergeCell ref="BO37:BZ37"/>
    <mergeCell ref="B38:R38"/>
    <mergeCell ref="S38:AD38"/>
    <mergeCell ref="AE38:AP38"/>
    <mergeCell ref="AQ38:BB38"/>
    <mergeCell ref="BC38:BN38"/>
    <mergeCell ref="BO38:BZ38"/>
    <mergeCell ref="B35:R35"/>
    <mergeCell ref="S35:AD35"/>
    <mergeCell ref="AE35:AP35"/>
    <mergeCell ref="AQ35:BB35"/>
    <mergeCell ref="BC35:BN35"/>
    <mergeCell ref="BO35:BZ35"/>
    <mergeCell ref="B36:R36"/>
    <mergeCell ref="S36:AD36"/>
    <mergeCell ref="AE36:AP36"/>
    <mergeCell ref="AQ36:BB36"/>
    <mergeCell ref="BC36:BN36"/>
    <mergeCell ref="BO36:BZ36"/>
    <mergeCell ref="B31:AW31"/>
    <mergeCell ref="A32:BZ32"/>
    <mergeCell ref="B33:BZ33"/>
    <mergeCell ref="B34:R34"/>
    <mergeCell ref="S34:AD34"/>
    <mergeCell ref="AE34:AP34"/>
    <mergeCell ref="AQ34:BB34"/>
    <mergeCell ref="BC34:BN34"/>
    <mergeCell ref="BO34:BZ34"/>
    <mergeCell ref="BK31:BL31"/>
    <mergeCell ref="BM31:BZ31"/>
    <mergeCell ref="BK29:BZ29"/>
    <mergeCell ref="B30:M30"/>
    <mergeCell ref="N30:R30"/>
    <mergeCell ref="S30:X30"/>
    <mergeCell ref="Y30:AD30"/>
    <mergeCell ref="AE30:AJ30"/>
    <mergeCell ref="AK30:AP30"/>
    <mergeCell ref="AQ30:AV30"/>
    <mergeCell ref="AW30:BB30"/>
    <mergeCell ref="BC30:BJ30"/>
    <mergeCell ref="BK30:BZ30"/>
    <mergeCell ref="B29:M29"/>
    <mergeCell ref="N29:R29"/>
    <mergeCell ref="S29:X29"/>
    <mergeCell ref="Y29:AD29"/>
    <mergeCell ref="AE29:AJ29"/>
    <mergeCell ref="AK29:AP29"/>
    <mergeCell ref="AQ29:AV29"/>
    <mergeCell ref="AW29:BB29"/>
    <mergeCell ref="BC29:BJ29"/>
    <mergeCell ref="BK27:BZ27"/>
    <mergeCell ref="B28:M28"/>
    <mergeCell ref="N28:R28"/>
    <mergeCell ref="S28:X28"/>
    <mergeCell ref="Y28:AD28"/>
    <mergeCell ref="AE28:AJ28"/>
    <mergeCell ref="AK28:AP28"/>
    <mergeCell ref="AQ28:AV28"/>
    <mergeCell ref="AW28:BB28"/>
    <mergeCell ref="BC28:BJ28"/>
    <mergeCell ref="BK28:BZ28"/>
    <mergeCell ref="B27:M27"/>
    <mergeCell ref="N27:R27"/>
    <mergeCell ref="S27:X27"/>
    <mergeCell ref="Y27:AD27"/>
    <mergeCell ref="AE27:AJ27"/>
    <mergeCell ref="AK27:AP27"/>
    <mergeCell ref="AQ27:AV27"/>
    <mergeCell ref="AW27:BB27"/>
    <mergeCell ref="BC27:BJ27"/>
    <mergeCell ref="BK25:BZ25"/>
    <mergeCell ref="B26:M26"/>
    <mergeCell ref="N26:R26"/>
    <mergeCell ref="S26:X26"/>
    <mergeCell ref="Y26:AD26"/>
    <mergeCell ref="AE26:AJ26"/>
    <mergeCell ref="AK26:AP26"/>
    <mergeCell ref="AQ26:AV26"/>
    <mergeCell ref="AW26:BB26"/>
    <mergeCell ref="BC26:BJ26"/>
    <mergeCell ref="BK26:BZ26"/>
    <mergeCell ref="B25:M25"/>
    <mergeCell ref="N25:R25"/>
    <mergeCell ref="S25:X25"/>
    <mergeCell ref="Y25:AD25"/>
    <mergeCell ref="AE25:AJ25"/>
    <mergeCell ref="AK25:AP25"/>
    <mergeCell ref="AQ25:AV25"/>
    <mergeCell ref="AW25:BB25"/>
    <mergeCell ref="BC25:BJ25"/>
    <mergeCell ref="BK23:BZ23"/>
    <mergeCell ref="B24:M24"/>
    <mergeCell ref="N24:R24"/>
    <mergeCell ref="S24:X24"/>
    <mergeCell ref="Y24:AD24"/>
    <mergeCell ref="AE24:AJ24"/>
    <mergeCell ref="AK24:AP24"/>
    <mergeCell ref="AQ24:AV24"/>
    <mergeCell ref="AW24:BB24"/>
    <mergeCell ref="BC24:BJ24"/>
    <mergeCell ref="BK24:BZ24"/>
    <mergeCell ref="B23:M23"/>
    <mergeCell ref="N23:R23"/>
    <mergeCell ref="S23:X23"/>
    <mergeCell ref="Y23:AD23"/>
    <mergeCell ref="AE23:AJ23"/>
    <mergeCell ref="AK23:AP23"/>
    <mergeCell ref="AQ23:AV23"/>
    <mergeCell ref="AW23:BB23"/>
    <mergeCell ref="BC23:BJ23"/>
    <mergeCell ref="B22:M22"/>
    <mergeCell ref="N22:R22"/>
    <mergeCell ref="S22:X22"/>
    <mergeCell ref="Y22:AD22"/>
    <mergeCell ref="AE22:AJ22"/>
    <mergeCell ref="AK22:AP22"/>
    <mergeCell ref="AQ22:AV22"/>
    <mergeCell ref="AW22:BB22"/>
    <mergeCell ref="BC22:BJ22"/>
    <mergeCell ref="B21:M21"/>
    <mergeCell ref="N21:R21"/>
    <mergeCell ref="S21:X21"/>
    <mergeCell ref="Y21:AD21"/>
    <mergeCell ref="AE21:AJ21"/>
    <mergeCell ref="AK21:AP21"/>
    <mergeCell ref="AQ21:AV21"/>
    <mergeCell ref="AW21:BB21"/>
    <mergeCell ref="BC21:BJ21"/>
    <mergeCell ref="AB17:AN17"/>
    <mergeCell ref="AP17:BC17"/>
    <mergeCell ref="BE17:BI17"/>
    <mergeCell ref="BK21:BL21"/>
    <mergeCell ref="BK22:BL22"/>
    <mergeCell ref="BM21:BZ21"/>
    <mergeCell ref="BM22:BZ22"/>
    <mergeCell ref="A18:BZ18"/>
    <mergeCell ref="B19:M19"/>
    <mergeCell ref="N19:R19"/>
    <mergeCell ref="S19:AD19"/>
    <mergeCell ref="AE19:AP19"/>
    <mergeCell ref="AQ19:BB19"/>
    <mergeCell ref="BC19:BZ19"/>
    <mergeCell ref="B20:M20"/>
    <mergeCell ref="N20:R20"/>
    <mergeCell ref="S20:X20"/>
    <mergeCell ref="Y20:AD20"/>
    <mergeCell ref="AE20:AJ20"/>
    <mergeCell ref="AK20:AP20"/>
    <mergeCell ref="AQ20:AV20"/>
    <mergeCell ref="AW20:BB20"/>
    <mergeCell ref="BC20:BJ20"/>
    <mergeCell ref="BK20:BZ20"/>
    <mergeCell ref="BK17:BZ17"/>
    <mergeCell ref="BO15:BP15"/>
    <mergeCell ref="BQ15:BZ15"/>
    <mergeCell ref="B12:E12"/>
    <mergeCell ref="F12:AD12"/>
    <mergeCell ref="AE12:AK12"/>
    <mergeCell ref="AL12:AR12"/>
    <mergeCell ref="AS12:BB12"/>
    <mergeCell ref="BC12:BN12"/>
    <mergeCell ref="BO12:BZ12"/>
    <mergeCell ref="B13:AU13"/>
    <mergeCell ref="B14:E14"/>
    <mergeCell ref="F14:AD14"/>
    <mergeCell ref="AE14:AK14"/>
    <mergeCell ref="AL14:AR14"/>
    <mergeCell ref="AS14:BB14"/>
    <mergeCell ref="BC14:BN14"/>
    <mergeCell ref="BO14:BZ14"/>
    <mergeCell ref="B15:AP15"/>
    <mergeCell ref="B16:AT16"/>
    <mergeCell ref="AX16:BA16"/>
    <mergeCell ref="BF16:BI16"/>
    <mergeCell ref="B17:F17"/>
    <mergeCell ref="H17:Z17"/>
    <mergeCell ref="B10:E10"/>
    <mergeCell ref="F10:AD10"/>
    <mergeCell ref="AE10:AK10"/>
    <mergeCell ref="AL10:AR10"/>
    <mergeCell ref="AS10:BB10"/>
    <mergeCell ref="BC10:BN10"/>
    <mergeCell ref="BO10:BZ10"/>
    <mergeCell ref="B11:AD11"/>
    <mergeCell ref="AS11:BB11"/>
    <mergeCell ref="B8:E8"/>
    <mergeCell ref="F8:AD8"/>
    <mergeCell ref="AE8:AK8"/>
    <mergeCell ref="AL8:AR8"/>
    <mergeCell ref="AS8:BB8"/>
    <mergeCell ref="BC8:BN8"/>
    <mergeCell ref="BO8:BZ8"/>
    <mergeCell ref="B9:E9"/>
    <mergeCell ref="F9:AD9"/>
    <mergeCell ref="AE9:AK9"/>
    <mergeCell ref="AL9:AR9"/>
    <mergeCell ref="AS9:BB9"/>
    <mergeCell ref="BC9:BN9"/>
    <mergeCell ref="BO9:BZ9"/>
    <mergeCell ref="B6:E6"/>
    <mergeCell ref="F6:AD6"/>
    <mergeCell ref="AE6:AK6"/>
    <mergeCell ref="AL6:AR6"/>
    <mergeCell ref="AS6:BB6"/>
    <mergeCell ref="BC6:BN6"/>
    <mergeCell ref="BO6:BZ6"/>
    <mergeCell ref="B7:E7"/>
    <mergeCell ref="F7:AD7"/>
    <mergeCell ref="AE7:AK7"/>
    <mergeCell ref="AL7:AR7"/>
    <mergeCell ref="AS7:BB7"/>
    <mergeCell ref="BC7:BN7"/>
    <mergeCell ref="BO7:BZ7"/>
    <mergeCell ref="A2:AA2"/>
    <mergeCell ref="B3:F3"/>
    <mergeCell ref="AA3:AG3"/>
    <mergeCell ref="BA3:BE3"/>
    <mergeCell ref="BG3:BZ3"/>
    <mergeCell ref="BA4:BE4"/>
    <mergeCell ref="BG4:BM4"/>
    <mergeCell ref="BN4:BZ4"/>
    <mergeCell ref="A5:BZ5"/>
  </mergeCells>
  <printOptions horizontalCentered="1"/>
  <pageMargins left="0.15" right="0.55000000000000004" top="0.25" bottom="0.1" header="0.3" footer="0.3"/>
  <pageSetup paperSize="5" scale="7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39"/>
  <sheetViews>
    <sheetView topLeftCell="A7" zoomScale="110" zoomScaleNormal="110" workbookViewId="0">
      <selection activeCell="CB18" sqref="CB18"/>
    </sheetView>
  </sheetViews>
  <sheetFormatPr defaultColWidth="9" defaultRowHeight="14.4"/>
  <cols>
    <col min="1" max="78" width="1.6640625" customWidth="1"/>
  </cols>
  <sheetData>
    <row r="1" spans="1:78" ht="8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20.100000000000001" customHeight="1">
      <c r="A2" s="485" t="s">
        <v>112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39.9" customHeight="1">
      <c r="A3" s="668" t="s">
        <v>4</v>
      </c>
      <c r="B3" s="669"/>
      <c r="C3" s="669"/>
      <c r="D3" s="669"/>
      <c r="E3" s="669"/>
      <c r="F3" s="2"/>
      <c r="G3" s="314" t="s">
        <v>197</v>
      </c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1"/>
      <c r="AA3" s="668" t="s">
        <v>5</v>
      </c>
      <c r="AB3" s="669"/>
      <c r="AC3" s="669"/>
      <c r="AD3" s="669"/>
      <c r="AE3" s="669"/>
      <c r="AF3" s="669"/>
      <c r="AG3" s="2"/>
      <c r="AH3" s="314" t="s">
        <v>6</v>
      </c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1"/>
      <c r="BA3" s="668" t="s">
        <v>8</v>
      </c>
      <c r="BB3" s="669"/>
      <c r="BC3" s="669"/>
      <c r="BD3" s="669"/>
      <c r="BE3" s="669"/>
      <c r="BF3" s="2"/>
      <c r="BG3" s="670">
        <v>1009</v>
      </c>
      <c r="BH3" s="90"/>
      <c r="BI3" s="90"/>
      <c r="BJ3" s="90"/>
      <c r="BK3" s="90"/>
      <c r="BL3" s="90"/>
      <c r="BM3" s="91"/>
      <c r="BN3" s="668" t="s">
        <v>9</v>
      </c>
      <c r="BO3" s="669"/>
      <c r="BP3" s="669"/>
      <c r="BQ3" s="669"/>
      <c r="BR3" s="669"/>
      <c r="BS3" s="2"/>
      <c r="BT3" s="670">
        <v>3</v>
      </c>
      <c r="BU3" s="90"/>
      <c r="BV3" s="90"/>
      <c r="BW3" s="90"/>
      <c r="BX3" s="90"/>
      <c r="BY3" s="90"/>
      <c r="BZ3" s="91"/>
    </row>
    <row r="4" spans="1:78" ht="20.10000000000000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20.10000000000000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20.10000000000000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20.100000000000001" customHeight="1">
      <c r="A7" s="671" t="s">
        <v>163</v>
      </c>
      <c r="B7" s="671"/>
      <c r="C7" s="671"/>
      <c r="D7" s="671"/>
      <c r="E7" s="671"/>
      <c r="F7" s="671"/>
      <c r="G7" s="671"/>
      <c r="H7" s="671"/>
      <c r="I7" s="671"/>
      <c r="J7" s="671"/>
      <c r="K7" s="671"/>
      <c r="L7" s="671"/>
      <c r="M7" s="671"/>
      <c r="N7" s="671"/>
      <c r="O7" s="671"/>
      <c r="P7" s="671"/>
      <c r="Q7" s="671"/>
      <c r="R7" s="671"/>
      <c r="S7" s="671"/>
      <c r="T7" s="671"/>
      <c r="U7" s="671"/>
      <c r="V7" s="671"/>
      <c r="W7" s="671"/>
      <c r="X7" s="671"/>
      <c r="Y7" s="671"/>
      <c r="Z7" s="671"/>
      <c r="AA7" s="671"/>
      <c r="AB7" s="671"/>
      <c r="AC7" s="671"/>
      <c r="AD7" s="671"/>
      <c r="AE7" s="671"/>
      <c r="AF7" s="671"/>
      <c r="AG7" s="671"/>
      <c r="AH7" s="671"/>
      <c r="AI7" s="671"/>
      <c r="AJ7" s="671"/>
      <c r="AK7" s="671"/>
      <c r="AL7" s="671"/>
      <c r="AM7" s="671"/>
      <c r="AN7" s="671"/>
      <c r="AO7" s="671"/>
      <c r="AP7" s="671"/>
      <c r="AQ7" s="671"/>
      <c r="AR7" s="671"/>
      <c r="AS7" s="671"/>
      <c r="AT7" s="671"/>
      <c r="AU7" s="671"/>
      <c r="AV7" s="671"/>
      <c r="AW7" s="671"/>
      <c r="AX7" s="671"/>
      <c r="AY7" s="671"/>
      <c r="AZ7" s="671"/>
      <c r="BA7" s="671"/>
      <c r="BB7" s="671"/>
      <c r="BC7" s="671"/>
      <c r="BD7" s="671"/>
      <c r="BE7" s="671"/>
      <c r="BF7" s="671"/>
      <c r="BG7" s="671"/>
      <c r="BH7" s="671"/>
      <c r="BI7" s="671"/>
      <c r="BJ7" s="671"/>
      <c r="BK7" s="671"/>
      <c r="BL7" s="671"/>
      <c r="BM7" s="671"/>
      <c r="BN7" s="671"/>
      <c r="BO7" s="671"/>
      <c r="BP7" s="671"/>
      <c r="BQ7" s="671"/>
      <c r="BR7" s="671"/>
      <c r="BS7" s="671"/>
      <c r="BT7" s="671"/>
      <c r="BU7" s="671"/>
      <c r="BV7" s="671"/>
      <c r="BW7" s="671"/>
      <c r="BX7" s="671"/>
      <c r="BY7" s="671"/>
      <c r="BZ7" s="671"/>
    </row>
    <row r="8" spans="1:78" ht="20.10000000000000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5.1" customHeight="1">
      <c r="A9" s="672" t="s">
        <v>27</v>
      </c>
      <c r="B9" s="673"/>
      <c r="C9" s="673"/>
      <c r="D9" s="674" t="s">
        <v>164</v>
      </c>
      <c r="E9" s="674"/>
      <c r="F9" s="674"/>
      <c r="G9" s="674"/>
      <c r="H9" s="674"/>
      <c r="I9" s="674"/>
      <c r="J9" s="674"/>
      <c r="K9" s="674"/>
      <c r="L9" s="674"/>
      <c r="M9" s="674"/>
      <c r="N9" s="674"/>
      <c r="O9" s="67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5"/>
    </row>
    <row r="10" spans="1:78" ht="35.1" customHeight="1">
      <c r="A10" s="479"/>
      <c r="B10" s="154"/>
      <c r="C10" s="154"/>
      <c r="D10" s="3"/>
      <c r="E10" s="2"/>
      <c r="F10" s="87" t="s">
        <v>11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8"/>
      <c r="AP10" s="675" t="s">
        <v>206</v>
      </c>
      <c r="AQ10" s="676"/>
      <c r="AR10" s="2"/>
      <c r="AS10" s="677">
        <f>+'PAGE 1'!CA21</f>
        <v>1897535.51</v>
      </c>
      <c r="AT10" s="677"/>
      <c r="AU10" s="677"/>
      <c r="AV10" s="677"/>
      <c r="AW10" s="677"/>
      <c r="AX10" s="677"/>
      <c r="AY10" s="677"/>
      <c r="AZ10" s="677"/>
      <c r="BA10" s="677"/>
      <c r="BB10" s="677"/>
      <c r="BC10" s="677"/>
      <c r="BD10" s="677"/>
      <c r="BE10" s="677"/>
      <c r="BF10" s="677"/>
      <c r="BG10" s="677"/>
      <c r="BH10" s="678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6"/>
    </row>
    <row r="11" spans="1:78" ht="35.1" customHeight="1">
      <c r="A11" s="479"/>
      <c r="B11" s="154"/>
      <c r="C11" s="154"/>
      <c r="D11" s="3"/>
      <c r="E11" s="2"/>
      <c r="F11" s="87" t="s">
        <v>165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8"/>
      <c r="AP11" s="675" t="s">
        <v>206</v>
      </c>
      <c r="AQ11" s="676"/>
      <c r="AR11" s="2"/>
      <c r="AS11" s="677">
        <f>+'PAGE 1'!CA32</f>
        <v>288611.12</v>
      </c>
      <c r="AT11" s="677"/>
      <c r="AU11" s="677"/>
      <c r="AV11" s="677"/>
      <c r="AW11" s="677"/>
      <c r="AX11" s="677"/>
      <c r="AY11" s="677"/>
      <c r="AZ11" s="677"/>
      <c r="BA11" s="677"/>
      <c r="BB11" s="677"/>
      <c r="BC11" s="677"/>
      <c r="BD11" s="677"/>
      <c r="BE11" s="677"/>
      <c r="BF11" s="677"/>
      <c r="BG11" s="677"/>
      <c r="BH11" s="678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6"/>
    </row>
    <row r="12" spans="1:78" ht="35.1" customHeight="1">
      <c r="A12" s="479"/>
      <c r="B12" s="154"/>
      <c r="C12" s="154"/>
      <c r="D12" s="3"/>
      <c r="E12" s="2"/>
      <c r="F12" s="87" t="s">
        <v>166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8"/>
      <c r="AP12" s="675" t="s">
        <v>206</v>
      </c>
      <c r="AQ12" s="676"/>
      <c r="AR12" s="2"/>
      <c r="AS12" s="677">
        <f>+'PAGE 1'!CA39</f>
        <v>125874.82</v>
      </c>
      <c r="AT12" s="677"/>
      <c r="AU12" s="677"/>
      <c r="AV12" s="677"/>
      <c r="AW12" s="677"/>
      <c r="AX12" s="677"/>
      <c r="AY12" s="677"/>
      <c r="AZ12" s="677"/>
      <c r="BA12" s="677"/>
      <c r="BB12" s="677"/>
      <c r="BC12" s="677"/>
      <c r="BD12" s="677"/>
      <c r="BE12" s="677"/>
      <c r="BF12" s="677"/>
      <c r="BG12" s="677"/>
      <c r="BH12" s="678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6"/>
    </row>
    <row r="13" spans="1:78" ht="35.1" customHeight="1">
      <c r="A13" s="479"/>
      <c r="B13" s="154"/>
      <c r="C13" s="154"/>
      <c r="D13" s="5"/>
      <c r="E13" s="6"/>
      <c r="F13" s="679" t="s">
        <v>167</v>
      </c>
      <c r="G13" s="679"/>
      <c r="H13" s="679"/>
      <c r="I13" s="679"/>
      <c r="J13" s="679"/>
      <c r="K13" s="679"/>
      <c r="L13" s="679"/>
      <c r="M13" s="679"/>
      <c r="N13" s="679"/>
      <c r="O13" s="679"/>
      <c r="P13" s="679"/>
      <c r="Q13" s="679"/>
      <c r="R13" s="679"/>
      <c r="S13" s="679"/>
      <c r="T13" s="679"/>
      <c r="U13" s="679"/>
      <c r="V13" s="679"/>
      <c r="W13" s="679"/>
      <c r="X13" s="679"/>
      <c r="Y13" s="679"/>
      <c r="Z13" s="679"/>
      <c r="AA13" s="679"/>
      <c r="AB13" s="679"/>
      <c r="AC13" s="679"/>
      <c r="AD13" s="679"/>
      <c r="AE13" s="679"/>
      <c r="AF13" s="679"/>
      <c r="AG13" s="679"/>
      <c r="AH13" s="679"/>
      <c r="AI13" s="679"/>
      <c r="AJ13" s="679"/>
      <c r="AK13" s="679"/>
      <c r="AL13" s="679"/>
      <c r="AM13" s="679"/>
      <c r="AN13" s="679"/>
      <c r="AO13" s="680"/>
      <c r="AP13" s="675" t="s">
        <v>206</v>
      </c>
      <c r="AQ13" s="676"/>
      <c r="AR13" s="2"/>
      <c r="AS13" s="677">
        <f>+'PAGE 1'!CA46</f>
        <v>126272.49</v>
      </c>
      <c r="AT13" s="677"/>
      <c r="AU13" s="677"/>
      <c r="AV13" s="677"/>
      <c r="AW13" s="677"/>
      <c r="AX13" s="677"/>
      <c r="AY13" s="677"/>
      <c r="AZ13" s="677"/>
      <c r="BA13" s="677"/>
      <c r="BB13" s="677"/>
      <c r="BC13" s="677"/>
      <c r="BD13" s="677"/>
      <c r="BE13" s="677"/>
      <c r="BF13" s="677"/>
      <c r="BG13" s="677"/>
      <c r="BH13" s="678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6"/>
    </row>
    <row r="14" spans="1:78" ht="35.1" customHeight="1">
      <c r="A14" s="479"/>
      <c r="B14" s="154"/>
      <c r="C14" s="154"/>
      <c r="D14" s="115" t="s">
        <v>168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8"/>
      <c r="BI14" s="675" t="s">
        <v>206</v>
      </c>
      <c r="BJ14" s="676"/>
      <c r="BK14" s="2"/>
      <c r="BL14" s="677">
        <f>+'PAGE 1'!CA48</f>
        <v>2438293.94</v>
      </c>
      <c r="BM14" s="677"/>
      <c r="BN14" s="677"/>
      <c r="BO14" s="677"/>
      <c r="BP14" s="677"/>
      <c r="BQ14" s="677"/>
      <c r="BR14" s="677"/>
      <c r="BS14" s="677"/>
      <c r="BT14" s="677"/>
      <c r="BU14" s="677"/>
      <c r="BV14" s="677"/>
      <c r="BW14" s="677"/>
      <c r="BX14" s="677"/>
      <c r="BY14" s="677"/>
      <c r="BZ14" s="681"/>
    </row>
    <row r="15" spans="1:78" ht="35.1" customHeight="1">
      <c r="A15" s="682" t="s">
        <v>29</v>
      </c>
      <c r="B15" s="683"/>
      <c r="C15" s="683"/>
      <c r="D15" s="115" t="s">
        <v>169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8"/>
      <c r="BI15" s="675" t="s">
        <v>206</v>
      </c>
      <c r="BJ15" s="676"/>
      <c r="BK15" s="2"/>
      <c r="BL15" s="677">
        <f>+'PAGE 4'!DU38</f>
        <v>1679934.9430000002</v>
      </c>
      <c r="BM15" s="677"/>
      <c r="BN15" s="677"/>
      <c r="BO15" s="677"/>
      <c r="BP15" s="677"/>
      <c r="BQ15" s="677"/>
      <c r="BR15" s="677"/>
      <c r="BS15" s="677"/>
      <c r="BT15" s="677"/>
      <c r="BU15" s="677"/>
      <c r="BV15" s="677"/>
      <c r="BW15" s="677"/>
      <c r="BX15" s="677"/>
      <c r="BY15" s="677"/>
      <c r="BZ15" s="681"/>
    </row>
    <row r="16" spans="1:78" ht="35.1" customHeight="1">
      <c r="A16" s="682" t="s">
        <v>170</v>
      </c>
      <c r="B16" s="683"/>
      <c r="C16" s="683"/>
      <c r="D16" s="115" t="s">
        <v>171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8"/>
      <c r="BI16" s="675" t="s">
        <v>206</v>
      </c>
      <c r="BJ16" s="676"/>
      <c r="BK16" s="2"/>
      <c r="BL16" s="677">
        <f>+'PAGE 5'!CA15</f>
        <v>16000</v>
      </c>
      <c r="BM16" s="677"/>
      <c r="BN16" s="677"/>
      <c r="BO16" s="677"/>
      <c r="BP16" s="677"/>
      <c r="BQ16" s="677"/>
      <c r="BR16" s="677"/>
      <c r="BS16" s="677"/>
      <c r="BT16" s="677"/>
      <c r="BU16" s="677"/>
      <c r="BV16" s="677"/>
      <c r="BW16" s="677"/>
      <c r="BX16" s="677"/>
      <c r="BY16" s="677"/>
      <c r="BZ16" s="681"/>
    </row>
    <row r="17" spans="1:78" ht="35.1" customHeight="1">
      <c r="A17" s="682" t="s">
        <v>172</v>
      </c>
      <c r="B17" s="683"/>
      <c r="C17" s="683"/>
      <c r="D17" s="115" t="s">
        <v>173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8"/>
      <c r="BI17" s="675" t="s">
        <v>206</v>
      </c>
      <c r="BJ17" s="676"/>
      <c r="BK17" s="2"/>
      <c r="BL17" s="677">
        <f>+'PAGE 5'!CA31</f>
        <v>250</v>
      </c>
      <c r="BM17" s="677"/>
      <c r="BN17" s="677"/>
      <c r="BO17" s="677"/>
      <c r="BP17" s="677"/>
      <c r="BQ17" s="677"/>
      <c r="BR17" s="677"/>
      <c r="BS17" s="677"/>
      <c r="BT17" s="677"/>
      <c r="BU17" s="677"/>
      <c r="BV17" s="677"/>
      <c r="BW17" s="677"/>
      <c r="BX17" s="677"/>
      <c r="BY17" s="677"/>
      <c r="BZ17" s="681"/>
    </row>
    <row r="18" spans="1:78" ht="35.1" customHeight="1">
      <c r="A18" s="684" t="s">
        <v>174</v>
      </c>
      <c r="B18" s="685"/>
      <c r="C18" s="685"/>
      <c r="D18" s="686" t="s">
        <v>175</v>
      </c>
      <c r="E18" s="679"/>
      <c r="F18" s="679"/>
      <c r="G18" s="679"/>
      <c r="H18" s="679"/>
      <c r="I18" s="679"/>
      <c r="J18" s="679"/>
      <c r="K18" s="679"/>
      <c r="L18" s="679"/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679"/>
      <c r="Z18" s="679"/>
      <c r="AA18" s="679"/>
      <c r="AB18" s="679"/>
      <c r="AC18" s="679"/>
      <c r="AD18" s="679"/>
      <c r="AE18" s="679"/>
      <c r="AF18" s="679"/>
      <c r="AG18" s="679"/>
      <c r="AH18" s="679"/>
      <c r="AI18" s="679"/>
      <c r="AJ18" s="679"/>
      <c r="AK18" s="679"/>
      <c r="AL18" s="679"/>
      <c r="AM18" s="679"/>
      <c r="AN18" s="679"/>
      <c r="AO18" s="679"/>
      <c r="AP18" s="679"/>
      <c r="AQ18" s="679"/>
      <c r="AR18" s="679"/>
      <c r="AS18" s="679"/>
      <c r="AT18" s="679"/>
      <c r="AU18" s="679"/>
      <c r="AV18" s="679"/>
      <c r="AW18" s="679"/>
      <c r="AX18" s="679"/>
      <c r="AY18" s="679"/>
      <c r="AZ18" s="679"/>
      <c r="BA18" s="679"/>
      <c r="BB18" s="679"/>
      <c r="BC18" s="679"/>
      <c r="BD18" s="679"/>
      <c r="BE18" s="679"/>
      <c r="BF18" s="679"/>
      <c r="BG18" s="679"/>
      <c r="BH18" s="680"/>
      <c r="BI18" s="687" t="s">
        <v>206</v>
      </c>
      <c r="BJ18" s="190"/>
      <c r="BK18" s="6"/>
      <c r="BL18" s="688">
        <f>+'PAGE 5'!CA43</f>
        <v>0</v>
      </c>
      <c r="BM18" s="688"/>
      <c r="BN18" s="688"/>
      <c r="BO18" s="688"/>
      <c r="BP18" s="688"/>
      <c r="BQ18" s="688"/>
      <c r="BR18" s="688"/>
      <c r="BS18" s="688"/>
      <c r="BT18" s="688"/>
      <c r="BU18" s="688"/>
      <c r="BV18" s="688"/>
      <c r="BW18" s="688"/>
      <c r="BX18" s="688"/>
      <c r="BY18" s="688"/>
      <c r="BZ18" s="689"/>
    </row>
    <row r="19" spans="1:78" ht="35.1" customHeight="1">
      <c r="A19" s="690"/>
      <c r="B19" s="691"/>
      <c r="C19" s="692"/>
      <c r="D19" s="457" t="s">
        <v>176</v>
      </c>
      <c r="E19" s="458"/>
      <c r="F19" s="458"/>
      <c r="G19" s="458"/>
      <c r="H19" s="458"/>
      <c r="I19" s="458"/>
      <c r="J19" s="458"/>
      <c r="K19" s="458"/>
      <c r="L19" s="458"/>
      <c r="M19" s="458"/>
      <c r="N19" s="458"/>
      <c r="O19" s="458"/>
      <c r="P19" s="458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  <c r="AB19" s="458"/>
      <c r="AC19" s="458"/>
      <c r="AD19" s="458"/>
      <c r="AE19" s="458"/>
      <c r="AF19" s="458"/>
      <c r="AG19" s="458"/>
      <c r="AH19" s="458"/>
      <c r="AI19" s="458"/>
      <c r="AJ19" s="458"/>
      <c r="AK19" s="458"/>
      <c r="AL19" s="458"/>
      <c r="AM19" s="458"/>
      <c r="AN19" s="458"/>
      <c r="AO19" s="458"/>
      <c r="AP19" s="458"/>
      <c r="AQ19" s="458"/>
      <c r="AR19" s="458"/>
      <c r="AS19" s="458"/>
      <c r="AT19" s="458"/>
      <c r="AU19" s="458"/>
      <c r="AV19" s="458"/>
      <c r="AW19" s="458"/>
      <c r="AX19" s="458"/>
      <c r="AY19" s="458"/>
      <c r="AZ19" s="458"/>
      <c r="BA19" s="458"/>
      <c r="BB19" s="458"/>
      <c r="BC19" s="458"/>
      <c r="BD19" s="458"/>
      <c r="BE19" s="458"/>
      <c r="BF19" s="458"/>
      <c r="BG19" s="458"/>
      <c r="BH19" s="639"/>
      <c r="BI19" s="693" t="s">
        <v>206</v>
      </c>
      <c r="BJ19" s="694"/>
      <c r="BK19" s="14"/>
      <c r="BL19" s="695">
        <f>SUM(BL14:BZ18)</f>
        <v>4134478.8830000004</v>
      </c>
      <c r="BM19" s="695"/>
      <c r="BN19" s="695"/>
      <c r="BO19" s="695"/>
      <c r="BP19" s="695"/>
      <c r="BQ19" s="695"/>
      <c r="BR19" s="695"/>
      <c r="BS19" s="695"/>
      <c r="BT19" s="695"/>
      <c r="BU19" s="695"/>
      <c r="BV19" s="695"/>
      <c r="BW19" s="695"/>
      <c r="BX19" s="695"/>
      <c r="BY19" s="695"/>
      <c r="BZ19" s="696"/>
    </row>
    <row r="20" spans="1:78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20.100000000000001" customHeight="1">
      <c r="A23" s="671" t="s">
        <v>177</v>
      </c>
      <c r="B23" s="671"/>
      <c r="C23" s="671"/>
      <c r="D23" s="671"/>
      <c r="E23" s="671"/>
      <c r="F23" s="671"/>
      <c r="G23" s="671"/>
      <c r="H23" s="671"/>
      <c r="I23" s="671"/>
      <c r="J23" s="671"/>
      <c r="K23" s="671"/>
      <c r="L23" s="671"/>
      <c r="M23" s="671"/>
      <c r="N23" s="671"/>
      <c r="O23" s="671"/>
      <c r="P23" s="671"/>
      <c r="Q23" s="671"/>
      <c r="R23" s="671"/>
      <c r="S23" s="671"/>
      <c r="T23" s="671"/>
      <c r="U23" s="671"/>
      <c r="V23" s="671"/>
      <c r="W23" s="671"/>
      <c r="X23" s="671"/>
      <c r="Y23" s="671"/>
      <c r="Z23" s="671"/>
      <c r="AA23" s="671"/>
      <c r="AB23" s="671"/>
      <c r="AC23" s="671"/>
      <c r="AD23" s="671"/>
      <c r="AE23" s="671"/>
      <c r="AF23" s="671"/>
      <c r="AG23" s="671"/>
      <c r="AH23" s="671"/>
      <c r="AI23" s="671"/>
      <c r="AJ23" s="671"/>
      <c r="AK23" s="671"/>
      <c r="AL23" s="671"/>
      <c r="AM23" s="671"/>
      <c r="AN23" s="671"/>
      <c r="AO23" s="671"/>
      <c r="AP23" s="671"/>
      <c r="AQ23" s="671"/>
      <c r="AR23" s="671"/>
      <c r="AS23" s="671"/>
      <c r="AT23" s="671"/>
      <c r="AU23" s="671"/>
      <c r="AV23" s="671"/>
      <c r="AW23" s="671"/>
      <c r="AX23" s="671"/>
      <c r="AY23" s="671"/>
      <c r="AZ23" s="671"/>
      <c r="BA23" s="671"/>
      <c r="BB23" s="671"/>
      <c r="BC23" s="671"/>
      <c r="BD23" s="671"/>
      <c r="BE23" s="671"/>
      <c r="BF23" s="671"/>
      <c r="BG23" s="671"/>
      <c r="BH23" s="671"/>
      <c r="BI23" s="671"/>
      <c r="BJ23" s="671"/>
      <c r="BK23" s="671"/>
      <c r="BL23" s="671"/>
      <c r="BM23" s="671"/>
      <c r="BN23" s="671"/>
      <c r="BO23" s="671"/>
      <c r="BP23" s="671"/>
      <c r="BQ23" s="671"/>
      <c r="BR23" s="671"/>
      <c r="BS23" s="671"/>
      <c r="BT23" s="671"/>
      <c r="BU23" s="671"/>
      <c r="BV23" s="671"/>
      <c r="BW23" s="671"/>
      <c r="BX23" s="671"/>
      <c r="BY23" s="671"/>
      <c r="BZ23" s="671"/>
    </row>
    <row r="24" spans="1:78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20.100000000000001" customHeight="1">
      <c r="A25" s="8"/>
      <c r="B25" s="9"/>
      <c r="C25" s="9"/>
      <c r="D25" s="9"/>
      <c r="E25" s="9"/>
      <c r="F25" s="697" t="s">
        <v>178</v>
      </c>
      <c r="G25" s="697"/>
      <c r="H25" s="697"/>
      <c r="I25" s="697"/>
      <c r="J25" s="697"/>
      <c r="K25" s="697"/>
      <c r="L25" s="697"/>
      <c r="M25" s="697"/>
      <c r="N25" s="697"/>
      <c r="O25" s="697"/>
      <c r="P25" s="697"/>
      <c r="Q25" s="697"/>
      <c r="R25" s="697"/>
      <c r="S25" s="697"/>
      <c r="T25" s="697"/>
      <c r="U25" s="697"/>
      <c r="V25" s="697"/>
      <c r="W25" s="697"/>
      <c r="X25" s="697"/>
      <c r="Y25" s="697"/>
      <c r="Z25" s="697"/>
      <c r="AA25" s="697"/>
      <c r="AB25" s="697"/>
      <c r="AC25" s="697"/>
      <c r="AD25" s="697"/>
      <c r="AE25" s="697"/>
      <c r="AF25" s="697"/>
      <c r="AG25" s="697"/>
      <c r="AH25" s="697"/>
      <c r="AI25" s="697"/>
      <c r="AJ25" s="697"/>
      <c r="AK25" s="697"/>
      <c r="AL25" s="697"/>
      <c r="AM25" s="697"/>
      <c r="AN25" s="697"/>
      <c r="AO25" s="697"/>
      <c r="AP25" s="697"/>
      <c r="AQ25" s="697"/>
      <c r="AR25" s="697"/>
      <c r="AS25" s="697"/>
      <c r="AT25" s="697"/>
      <c r="AU25" s="697"/>
      <c r="AV25" s="697"/>
      <c r="AW25" s="697"/>
      <c r="AX25" s="697"/>
      <c r="AY25" s="697"/>
      <c r="AZ25" s="697"/>
      <c r="BA25" s="697"/>
      <c r="BB25" s="697"/>
      <c r="BC25" s="697"/>
      <c r="BD25" s="697"/>
      <c r="BE25" s="697"/>
      <c r="BF25" s="697"/>
      <c r="BG25" s="697"/>
      <c r="BH25" s="697"/>
      <c r="BI25" s="697"/>
      <c r="BJ25" s="697"/>
      <c r="BK25" s="697"/>
      <c r="BL25" s="697"/>
      <c r="BM25" s="697"/>
      <c r="BN25" s="697"/>
      <c r="BO25" s="697"/>
      <c r="BP25" s="697"/>
      <c r="BQ25" s="697"/>
      <c r="BR25" s="697"/>
      <c r="BS25" s="697"/>
      <c r="BT25" s="697"/>
      <c r="BU25" s="697"/>
      <c r="BV25" s="697"/>
      <c r="BW25" s="697"/>
      <c r="BX25" s="697"/>
      <c r="BY25" s="697"/>
      <c r="BZ25" s="698"/>
    </row>
    <row r="26" spans="1:78" ht="20.100000000000001" customHeight="1">
      <c r="A26" s="699" t="s">
        <v>179</v>
      </c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  <c r="P26" s="700"/>
      <c r="Q26" s="700"/>
      <c r="R26" s="700"/>
      <c r="S26" s="700"/>
      <c r="T26" s="700"/>
      <c r="U26" s="700"/>
      <c r="V26" s="700"/>
      <c r="W26" s="700"/>
      <c r="X26" s="700"/>
      <c r="Y26" s="700"/>
      <c r="Z26" s="700"/>
      <c r="AA26" s="700"/>
      <c r="AB26" s="700"/>
      <c r="AC26" s="700"/>
      <c r="AD26" s="700"/>
      <c r="AE26" s="700"/>
      <c r="AF26" s="700"/>
      <c r="AG26" s="700"/>
      <c r="AH26" s="700"/>
      <c r="AI26" s="700"/>
      <c r="AJ26" s="700"/>
      <c r="AK26" s="700"/>
      <c r="AL26" s="700"/>
      <c r="AM26" s="700"/>
      <c r="AN26" s="700"/>
      <c r="AO26" s="700"/>
      <c r="AP26" s="700"/>
      <c r="AQ26" s="700"/>
      <c r="AR26" s="700"/>
      <c r="AS26" s="700"/>
      <c r="AT26" s="700"/>
      <c r="AU26" s="700"/>
      <c r="AV26" s="700"/>
      <c r="AW26" s="700"/>
      <c r="AX26" s="700"/>
      <c r="AY26" s="700"/>
      <c r="AZ26" s="700"/>
      <c r="BA26" s="700"/>
      <c r="BB26" s="700"/>
      <c r="BC26" s="700"/>
      <c r="BD26" s="700"/>
      <c r="BE26" s="700"/>
      <c r="BF26" s="700"/>
      <c r="BG26" s="700"/>
      <c r="BH26" s="700"/>
      <c r="BI26" s="700"/>
      <c r="BJ26" s="700"/>
      <c r="BK26" s="700"/>
      <c r="BL26" s="700"/>
      <c r="BM26" s="700"/>
      <c r="BN26" s="700"/>
      <c r="BO26" s="700"/>
      <c r="BP26" s="700"/>
      <c r="BQ26" s="700"/>
      <c r="BR26" s="700"/>
      <c r="BS26" s="700"/>
      <c r="BT26" s="700"/>
      <c r="BU26" s="700"/>
      <c r="BV26" s="700"/>
      <c r="BW26" s="700"/>
      <c r="BX26" s="700"/>
      <c r="BY26" s="700"/>
      <c r="BZ26" s="701"/>
    </row>
    <row r="27" spans="1:78" ht="20.100000000000001" customHeight="1">
      <c r="A27" s="702" t="s">
        <v>180</v>
      </c>
      <c r="B27" s="703"/>
      <c r="C27" s="703"/>
      <c r="D27" s="703"/>
      <c r="E27" s="703"/>
      <c r="F27" s="703"/>
      <c r="G27" s="703"/>
      <c r="H27" s="703"/>
      <c r="I27" s="703"/>
      <c r="J27" s="703"/>
      <c r="K27" s="703"/>
      <c r="L27" s="703"/>
      <c r="M27" s="703"/>
      <c r="N27" s="703"/>
      <c r="O27" s="703"/>
      <c r="P27" s="703"/>
      <c r="Q27" s="703"/>
      <c r="R27" s="703"/>
      <c r="S27" s="703"/>
      <c r="T27" s="703"/>
      <c r="U27" s="703"/>
      <c r="V27" s="703"/>
      <c r="W27" s="703"/>
      <c r="X27" s="703"/>
      <c r="Y27" s="703"/>
      <c r="Z27" s="703"/>
      <c r="AA27" s="703"/>
      <c r="AB27" s="703"/>
      <c r="AC27" s="703"/>
      <c r="AD27" s="703"/>
      <c r="AE27" s="703"/>
      <c r="AF27" s="703"/>
      <c r="AG27" s="703"/>
      <c r="AH27" s="703"/>
      <c r="AI27" s="703"/>
      <c r="AJ27" s="703"/>
      <c r="AK27" s="703"/>
      <c r="AL27" s="703"/>
      <c r="AM27" s="703"/>
      <c r="AN27" s="703"/>
      <c r="AO27" s="703"/>
      <c r="AP27" s="703"/>
      <c r="AQ27" s="703"/>
      <c r="AR27" s="703"/>
      <c r="AS27" s="703"/>
      <c r="AT27" s="703"/>
      <c r="AU27" s="703"/>
      <c r="AV27" s="703"/>
      <c r="AW27" s="703"/>
      <c r="AX27" s="703"/>
      <c r="AY27" s="703"/>
      <c r="AZ27" s="703"/>
      <c r="BA27" s="703"/>
      <c r="BB27" s="703"/>
      <c r="BC27" s="703"/>
      <c r="BD27" s="703"/>
      <c r="BE27" s="703"/>
      <c r="BF27" s="703"/>
      <c r="BG27" s="703"/>
      <c r="BH27" s="703"/>
      <c r="BI27" s="703"/>
      <c r="BJ27" s="703"/>
      <c r="BK27" s="703"/>
      <c r="BL27" s="703"/>
      <c r="BM27" s="703"/>
      <c r="BN27" s="703"/>
      <c r="BO27" s="703"/>
      <c r="BP27" s="703"/>
      <c r="BQ27" s="703"/>
      <c r="BR27" s="703"/>
      <c r="BS27" s="703"/>
      <c r="BT27" s="703"/>
      <c r="BU27" s="703"/>
      <c r="BV27" s="703"/>
      <c r="BW27" s="703"/>
      <c r="BX27" s="703"/>
      <c r="BY27" s="703"/>
      <c r="BZ27" s="704"/>
    </row>
    <row r="28" spans="1:78" ht="18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7"/>
    </row>
    <row r="29" spans="1:78" ht="39.9" customHeight="1">
      <c r="A29" s="705" t="s">
        <v>841</v>
      </c>
      <c r="B29" s="706"/>
      <c r="C29" s="706"/>
      <c r="D29" s="706"/>
      <c r="E29" s="706"/>
      <c r="F29" s="706"/>
      <c r="G29" s="706"/>
      <c r="H29" s="706"/>
      <c r="I29" s="706"/>
      <c r="J29" s="706"/>
      <c r="K29" s="706"/>
      <c r="L29" s="706"/>
      <c r="M29" s="706"/>
      <c r="N29" s="706"/>
      <c r="O29" s="706"/>
      <c r="P29" s="706"/>
      <c r="Q29" s="706"/>
      <c r="R29" s="706"/>
      <c r="S29" s="706"/>
      <c r="T29" s="706"/>
      <c r="U29" s="706"/>
      <c r="V29" s="706"/>
      <c r="W29" s="706"/>
      <c r="X29" s="706"/>
      <c r="Y29" s="706"/>
      <c r="Z29" s="707"/>
      <c r="AA29" s="705" t="s">
        <v>842</v>
      </c>
      <c r="AB29" s="706"/>
      <c r="AC29" s="706"/>
      <c r="AD29" s="706"/>
      <c r="AE29" s="706"/>
      <c r="AF29" s="706"/>
      <c r="AG29" s="706"/>
      <c r="AH29" s="706"/>
      <c r="AI29" s="706"/>
      <c r="AJ29" s="706"/>
      <c r="AK29" s="706"/>
      <c r="AL29" s="706"/>
      <c r="AM29" s="706"/>
      <c r="AN29" s="706"/>
      <c r="AO29" s="706"/>
      <c r="AP29" s="706"/>
      <c r="AQ29" s="706"/>
      <c r="AR29" s="706"/>
      <c r="AS29" s="706"/>
      <c r="AT29" s="706"/>
      <c r="AU29" s="706"/>
      <c r="AV29" s="706"/>
      <c r="AW29" s="706"/>
      <c r="AX29" s="706"/>
      <c r="AY29" s="706"/>
      <c r="AZ29" s="707"/>
      <c r="BA29" s="705" t="s">
        <v>843</v>
      </c>
      <c r="BB29" s="706"/>
      <c r="BC29" s="706"/>
      <c r="BD29" s="706"/>
      <c r="BE29" s="706"/>
      <c r="BF29" s="706"/>
      <c r="BG29" s="706"/>
      <c r="BH29" s="706"/>
      <c r="BI29" s="706"/>
      <c r="BJ29" s="706"/>
      <c r="BK29" s="706"/>
      <c r="BL29" s="706"/>
      <c r="BM29" s="706"/>
      <c r="BN29" s="706"/>
      <c r="BO29" s="706"/>
      <c r="BP29" s="706"/>
      <c r="BQ29" s="706"/>
      <c r="BR29" s="706"/>
      <c r="BS29" s="706"/>
      <c r="BT29" s="706"/>
      <c r="BU29" s="706"/>
      <c r="BV29" s="706"/>
      <c r="BW29" s="706"/>
      <c r="BX29" s="706"/>
      <c r="BY29" s="706"/>
      <c r="BZ29" s="707"/>
    </row>
    <row r="30" spans="1:78" ht="20.100000000000001" customHeight="1">
      <c r="A30" s="708" t="s">
        <v>181</v>
      </c>
      <c r="B30" s="709"/>
      <c r="C30" s="709"/>
      <c r="D30" s="709"/>
      <c r="E30" s="709"/>
      <c r="F30" s="709"/>
      <c r="G30" s="709"/>
      <c r="H30" s="709"/>
      <c r="I30" s="709"/>
      <c r="J30" s="709"/>
      <c r="K30" s="709"/>
      <c r="L30" s="709"/>
      <c r="M30" s="709"/>
      <c r="N30" s="709"/>
      <c r="O30" s="709"/>
      <c r="P30" s="709"/>
      <c r="Q30" s="709"/>
      <c r="R30" s="709"/>
      <c r="S30" s="709"/>
      <c r="T30" s="709"/>
      <c r="U30" s="709"/>
      <c r="V30" s="709"/>
      <c r="W30" s="709"/>
      <c r="X30" s="709"/>
      <c r="Y30" s="709"/>
      <c r="Z30" s="710"/>
      <c r="AA30" s="708" t="s">
        <v>182</v>
      </c>
      <c r="AB30" s="709"/>
      <c r="AC30" s="709"/>
      <c r="AD30" s="709"/>
      <c r="AE30" s="709"/>
      <c r="AF30" s="709"/>
      <c r="AG30" s="709"/>
      <c r="AH30" s="709"/>
      <c r="AI30" s="709"/>
      <c r="AJ30" s="709"/>
      <c r="AK30" s="709"/>
      <c r="AL30" s="709"/>
      <c r="AM30" s="709"/>
      <c r="AN30" s="709"/>
      <c r="AO30" s="709"/>
      <c r="AP30" s="709"/>
      <c r="AQ30" s="709"/>
      <c r="AR30" s="709"/>
      <c r="AS30" s="709"/>
      <c r="AT30" s="709"/>
      <c r="AU30" s="709"/>
      <c r="AV30" s="709"/>
      <c r="AW30" s="709"/>
      <c r="AX30" s="709"/>
      <c r="AY30" s="709"/>
      <c r="AZ30" s="710"/>
      <c r="BA30" s="708" t="s">
        <v>183</v>
      </c>
      <c r="BB30" s="709"/>
      <c r="BC30" s="709"/>
      <c r="BD30" s="709"/>
      <c r="BE30" s="709"/>
      <c r="BF30" s="709"/>
      <c r="BG30" s="709"/>
      <c r="BH30" s="709"/>
      <c r="BI30" s="709"/>
      <c r="BJ30" s="709"/>
      <c r="BK30" s="709"/>
      <c r="BL30" s="709"/>
      <c r="BM30" s="709"/>
      <c r="BN30" s="709"/>
      <c r="BO30" s="709"/>
      <c r="BP30" s="709"/>
      <c r="BQ30" s="709"/>
      <c r="BR30" s="709"/>
      <c r="BS30" s="709"/>
      <c r="BT30" s="709"/>
      <c r="BU30" s="709"/>
      <c r="BV30" s="709"/>
      <c r="BW30" s="709"/>
      <c r="BX30" s="709"/>
      <c r="BY30" s="709"/>
      <c r="BZ30" s="710"/>
    </row>
    <row r="31" spans="1:78" ht="39.9" customHeight="1">
      <c r="A31" s="705" t="s">
        <v>847</v>
      </c>
      <c r="B31" s="706"/>
      <c r="C31" s="706"/>
      <c r="D31" s="706"/>
      <c r="E31" s="706"/>
      <c r="F31" s="706"/>
      <c r="G31" s="706"/>
      <c r="H31" s="706"/>
      <c r="I31" s="706"/>
      <c r="J31" s="706"/>
      <c r="K31" s="706"/>
      <c r="L31" s="706"/>
      <c r="M31" s="706"/>
      <c r="N31" s="706"/>
      <c r="O31" s="706"/>
      <c r="P31" s="706"/>
      <c r="Q31" s="706"/>
      <c r="R31" s="706"/>
      <c r="S31" s="706"/>
      <c r="T31" s="706"/>
      <c r="U31" s="706"/>
      <c r="V31" s="706"/>
      <c r="W31" s="706"/>
      <c r="X31" s="706"/>
      <c r="Y31" s="706"/>
      <c r="Z31" s="707"/>
      <c r="AA31" s="705" t="s">
        <v>849</v>
      </c>
      <c r="AB31" s="706"/>
      <c r="AC31" s="706"/>
      <c r="AD31" s="706"/>
      <c r="AE31" s="706"/>
      <c r="AF31" s="706"/>
      <c r="AG31" s="706"/>
      <c r="AH31" s="706"/>
      <c r="AI31" s="706"/>
      <c r="AJ31" s="706"/>
      <c r="AK31" s="706"/>
      <c r="AL31" s="706"/>
      <c r="AM31" s="706"/>
      <c r="AN31" s="706"/>
      <c r="AO31" s="706"/>
      <c r="AP31" s="706"/>
      <c r="AQ31" s="706"/>
      <c r="AR31" s="706"/>
      <c r="AS31" s="706"/>
      <c r="AT31" s="706"/>
      <c r="AU31" s="706"/>
      <c r="AV31" s="706"/>
      <c r="AW31" s="706"/>
      <c r="AX31" s="706"/>
      <c r="AY31" s="706"/>
      <c r="AZ31" s="707"/>
      <c r="BA31" s="705" t="s">
        <v>844</v>
      </c>
      <c r="BB31" s="706"/>
      <c r="BC31" s="706"/>
      <c r="BD31" s="706"/>
      <c r="BE31" s="706"/>
      <c r="BF31" s="706"/>
      <c r="BG31" s="706"/>
      <c r="BH31" s="706"/>
      <c r="BI31" s="706"/>
      <c r="BJ31" s="706"/>
      <c r="BK31" s="706"/>
      <c r="BL31" s="706"/>
      <c r="BM31" s="706"/>
      <c r="BN31" s="706"/>
      <c r="BO31" s="706"/>
      <c r="BP31" s="706"/>
      <c r="BQ31" s="706"/>
      <c r="BR31" s="706"/>
      <c r="BS31" s="706"/>
      <c r="BT31" s="706"/>
      <c r="BU31" s="706"/>
      <c r="BV31" s="706"/>
      <c r="BW31" s="706"/>
      <c r="BX31" s="706"/>
      <c r="BY31" s="706"/>
      <c r="BZ31" s="707"/>
    </row>
    <row r="32" spans="1:78" ht="20.100000000000001" customHeight="1">
      <c r="A32" s="708" t="s">
        <v>184</v>
      </c>
      <c r="B32" s="709"/>
      <c r="C32" s="709"/>
      <c r="D32" s="709"/>
      <c r="E32" s="709"/>
      <c r="F32" s="709"/>
      <c r="G32" s="709"/>
      <c r="H32" s="709"/>
      <c r="I32" s="709"/>
      <c r="J32" s="709"/>
      <c r="K32" s="709"/>
      <c r="L32" s="709"/>
      <c r="M32" s="709"/>
      <c r="N32" s="709"/>
      <c r="O32" s="709"/>
      <c r="P32" s="709"/>
      <c r="Q32" s="709"/>
      <c r="R32" s="709"/>
      <c r="S32" s="709"/>
      <c r="T32" s="709"/>
      <c r="U32" s="709"/>
      <c r="V32" s="709"/>
      <c r="W32" s="709"/>
      <c r="X32" s="709"/>
      <c r="Y32" s="709"/>
      <c r="Z32" s="710"/>
      <c r="AA32" s="708" t="s">
        <v>185</v>
      </c>
      <c r="AB32" s="709"/>
      <c r="AC32" s="709"/>
      <c r="AD32" s="709"/>
      <c r="AE32" s="709"/>
      <c r="AF32" s="709"/>
      <c r="AG32" s="709"/>
      <c r="AH32" s="709"/>
      <c r="AI32" s="709"/>
      <c r="AJ32" s="709"/>
      <c r="AK32" s="709"/>
      <c r="AL32" s="709"/>
      <c r="AM32" s="709"/>
      <c r="AN32" s="709"/>
      <c r="AO32" s="709"/>
      <c r="AP32" s="709"/>
      <c r="AQ32" s="709"/>
      <c r="AR32" s="709"/>
      <c r="AS32" s="709"/>
      <c r="AT32" s="709"/>
      <c r="AU32" s="709"/>
      <c r="AV32" s="709"/>
      <c r="AW32" s="709"/>
      <c r="AX32" s="709"/>
      <c r="AY32" s="709"/>
      <c r="AZ32" s="710"/>
      <c r="BA32" s="708" t="s">
        <v>186</v>
      </c>
      <c r="BB32" s="709"/>
      <c r="BC32" s="709"/>
      <c r="BD32" s="709"/>
      <c r="BE32" s="709"/>
      <c r="BF32" s="709"/>
      <c r="BG32" s="709"/>
      <c r="BH32" s="709"/>
      <c r="BI32" s="709"/>
      <c r="BJ32" s="709"/>
      <c r="BK32" s="709"/>
      <c r="BL32" s="709"/>
      <c r="BM32" s="709"/>
      <c r="BN32" s="709"/>
      <c r="BO32" s="709"/>
      <c r="BP32" s="709"/>
      <c r="BQ32" s="709"/>
      <c r="BR32" s="709"/>
      <c r="BS32" s="709"/>
      <c r="BT32" s="709"/>
      <c r="BU32" s="709"/>
      <c r="BV32" s="709"/>
      <c r="BW32" s="709"/>
      <c r="BX32" s="709"/>
      <c r="BY32" s="709"/>
      <c r="BZ32" s="710"/>
    </row>
    <row r="33" spans="1:78" ht="39.9" customHeight="1">
      <c r="A33" s="705" t="s">
        <v>848</v>
      </c>
      <c r="B33" s="706"/>
      <c r="C33" s="706"/>
      <c r="D33" s="706"/>
      <c r="E33" s="706"/>
      <c r="F33" s="706"/>
      <c r="G33" s="706"/>
      <c r="H33" s="706"/>
      <c r="I33" s="706"/>
      <c r="J33" s="706"/>
      <c r="K33" s="706"/>
      <c r="L33" s="706"/>
      <c r="M33" s="706"/>
      <c r="N33" s="706"/>
      <c r="O33" s="706"/>
      <c r="P33" s="706"/>
      <c r="Q33" s="706"/>
      <c r="R33" s="706"/>
      <c r="S33" s="706"/>
      <c r="T33" s="706"/>
      <c r="U33" s="706"/>
      <c r="V33" s="706"/>
      <c r="W33" s="706"/>
      <c r="X33" s="706"/>
      <c r="Y33" s="706"/>
      <c r="Z33" s="707"/>
      <c r="AA33" s="705" t="s">
        <v>850</v>
      </c>
      <c r="AB33" s="706"/>
      <c r="AC33" s="706"/>
      <c r="AD33" s="706"/>
      <c r="AE33" s="706"/>
      <c r="AF33" s="706"/>
      <c r="AG33" s="706"/>
      <c r="AH33" s="706"/>
      <c r="AI33" s="706"/>
      <c r="AJ33" s="706"/>
      <c r="AK33" s="706"/>
      <c r="AL33" s="706"/>
      <c r="AM33" s="706"/>
      <c r="AN33" s="706"/>
      <c r="AO33" s="706"/>
      <c r="AP33" s="706"/>
      <c r="AQ33" s="706"/>
      <c r="AR33" s="706"/>
      <c r="AS33" s="706"/>
      <c r="AT33" s="706"/>
      <c r="AU33" s="706"/>
      <c r="AV33" s="706"/>
      <c r="AW33" s="706"/>
      <c r="AX33" s="706"/>
      <c r="AY33" s="706"/>
      <c r="AZ33" s="707"/>
      <c r="BA33" s="705" t="s">
        <v>845</v>
      </c>
      <c r="BB33" s="706"/>
      <c r="BC33" s="706"/>
      <c r="BD33" s="706"/>
      <c r="BE33" s="706"/>
      <c r="BF33" s="706"/>
      <c r="BG33" s="706"/>
      <c r="BH33" s="706"/>
      <c r="BI33" s="706"/>
      <c r="BJ33" s="706"/>
      <c r="BK33" s="706"/>
      <c r="BL33" s="706"/>
      <c r="BM33" s="706"/>
      <c r="BN33" s="706"/>
      <c r="BO33" s="706"/>
      <c r="BP33" s="706"/>
      <c r="BQ33" s="706"/>
      <c r="BR33" s="706"/>
      <c r="BS33" s="706"/>
      <c r="BT33" s="706"/>
      <c r="BU33" s="706"/>
      <c r="BV33" s="706"/>
      <c r="BW33" s="706"/>
      <c r="BX33" s="706"/>
      <c r="BY33" s="706"/>
      <c r="BZ33" s="707"/>
    </row>
    <row r="34" spans="1:78" ht="20.100000000000001" customHeight="1">
      <c r="A34" s="708" t="s">
        <v>187</v>
      </c>
      <c r="B34" s="709"/>
      <c r="C34" s="709"/>
      <c r="D34" s="709"/>
      <c r="E34" s="709"/>
      <c r="F34" s="709"/>
      <c r="G34" s="709"/>
      <c r="H34" s="709"/>
      <c r="I34" s="709"/>
      <c r="J34" s="709"/>
      <c r="K34" s="709"/>
      <c r="L34" s="709"/>
      <c r="M34" s="709"/>
      <c r="N34" s="709"/>
      <c r="O34" s="709"/>
      <c r="P34" s="709"/>
      <c r="Q34" s="709"/>
      <c r="R34" s="709"/>
      <c r="S34" s="709"/>
      <c r="T34" s="709"/>
      <c r="U34" s="709"/>
      <c r="V34" s="709"/>
      <c r="W34" s="709"/>
      <c r="X34" s="709"/>
      <c r="Y34" s="709"/>
      <c r="Z34" s="710"/>
      <c r="AA34" s="708" t="s">
        <v>188</v>
      </c>
      <c r="AB34" s="709"/>
      <c r="AC34" s="709"/>
      <c r="AD34" s="709"/>
      <c r="AE34" s="709"/>
      <c r="AF34" s="709"/>
      <c r="AG34" s="709"/>
      <c r="AH34" s="709"/>
      <c r="AI34" s="709"/>
      <c r="AJ34" s="709"/>
      <c r="AK34" s="709"/>
      <c r="AL34" s="709"/>
      <c r="AM34" s="709"/>
      <c r="AN34" s="709"/>
      <c r="AO34" s="709"/>
      <c r="AP34" s="709"/>
      <c r="AQ34" s="709"/>
      <c r="AR34" s="709"/>
      <c r="AS34" s="709"/>
      <c r="AT34" s="709"/>
      <c r="AU34" s="709"/>
      <c r="AV34" s="709"/>
      <c r="AW34" s="709"/>
      <c r="AX34" s="709"/>
      <c r="AY34" s="709"/>
      <c r="AZ34" s="710"/>
      <c r="BA34" s="708" t="s">
        <v>189</v>
      </c>
      <c r="BB34" s="709"/>
      <c r="BC34" s="709"/>
      <c r="BD34" s="709"/>
      <c r="BE34" s="709"/>
      <c r="BF34" s="709"/>
      <c r="BG34" s="709"/>
      <c r="BH34" s="709"/>
      <c r="BI34" s="709"/>
      <c r="BJ34" s="709"/>
      <c r="BK34" s="709"/>
      <c r="BL34" s="709"/>
      <c r="BM34" s="709"/>
      <c r="BN34" s="709"/>
      <c r="BO34" s="709"/>
      <c r="BP34" s="709"/>
      <c r="BQ34" s="709"/>
      <c r="BR34" s="709"/>
      <c r="BS34" s="709"/>
      <c r="BT34" s="709"/>
      <c r="BU34" s="709"/>
      <c r="BV34" s="709"/>
      <c r="BW34" s="709"/>
      <c r="BX34" s="709"/>
      <c r="BY34" s="709"/>
      <c r="BZ34" s="710"/>
    </row>
    <row r="35" spans="1:78" ht="39.9" customHeight="1">
      <c r="A35" s="705" t="s">
        <v>852</v>
      </c>
      <c r="B35" s="706"/>
      <c r="C35" s="706"/>
      <c r="D35" s="706"/>
      <c r="E35" s="706"/>
      <c r="F35" s="706"/>
      <c r="G35" s="706"/>
      <c r="H35" s="706"/>
      <c r="I35" s="706"/>
      <c r="J35" s="706"/>
      <c r="K35" s="706"/>
      <c r="L35" s="706"/>
      <c r="M35" s="706"/>
      <c r="N35" s="706"/>
      <c r="O35" s="706"/>
      <c r="P35" s="706"/>
      <c r="Q35" s="706"/>
      <c r="R35" s="706"/>
      <c r="S35" s="706"/>
      <c r="T35" s="706"/>
      <c r="U35" s="706"/>
      <c r="V35" s="706"/>
      <c r="W35" s="706"/>
      <c r="X35" s="706"/>
      <c r="Y35" s="706"/>
      <c r="Z35" s="707"/>
      <c r="AA35" s="705" t="s">
        <v>851</v>
      </c>
      <c r="AB35" s="706"/>
      <c r="AC35" s="706"/>
      <c r="AD35" s="706"/>
      <c r="AE35" s="706"/>
      <c r="AF35" s="706"/>
      <c r="AG35" s="706"/>
      <c r="AH35" s="706"/>
      <c r="AI35" s="706"/>
      <c r="AJ35" s="706"/>
      <c r="AK35" s="706"/>
      <c r="AL35" s="706"/>
      <c r="AM35" s="706"/>
      <c r="AN35" s="706"/>
      <c r="AO35" s="706"/>
      <c r="AP35" s="706"/>
      <c r="AQ35" s="706"/>
      <c r="AR35" s="706"/>
      <c r="AS35" s="706"/>
      <c r="AT35" s="706"/>
      <c r="AU35" s="706"/>
      <c r="AV35" s="706"/>
      <c r="AW35" s="706"/>
      <c r="AX35" s="706"/>
      <c r="AY35" s="706"/>
      <c r="AZ35" s="707"/>
      <c r="BA35" s="705" t="s">
        <v>846</v>
      </c>
      <c r="BB35" s="706"/>
      <c r="BC35" s="706"/>
      <c r="BD35" s="706"/>
      <c r="BE35" s="706"/>
      <c r="BF35" s="706"/>
      <c r="BG35" s="706"/>
      <c r="BH35" s="706"/>
      <c r="BI35" s="706"/>
      <c r="BJ35" s="706"/>
      <c r="BK35" s="706"/>
      <c r="BL35" s="706"/>
      <c r="BM35" s="706"/>
      <c r="BN35" s="706"/>
      <c r="BO35" s="706"/>
      <c r="BP35" s="706"/>
      <c r="BQ35" s="706"/>
      <c r="BR35" s="706"/>
      <c r="BS35" s="706"/>
      <c r="BT35" s="706"/>
      <c r="BU35" s="706"/>
      <c r="BV35" s="706"/>
      <c r="BW35" s="706"/>
      <c r="BX35" s="706"/>
      <c r="BY35" s="706"/>
      <c r="BZ35" s="707"/>
    </row>
    <row r="36" spans="1:78" ht="20.100000000000001" customHeight="1">
      <c r="A36" s="708" t="s">
        <v>190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10"/>
      <c r="AA36" s="708" t="s">
        <v>191</v>
      </c>
      <c r="AB36" s="709"/>
      <c r="AC36" s="709"/>
      <c r="AD36" s="709"/>
      <c r="AE36" s="709"/>
      <c r="AF36" s="709"/>
      <c r="AG36" s="709"/>
      <c r="AH36" s="709"/>
      <c r="AI36" s="709"/>
      <c r="AJ36" s="709"/>
      <c r="AK36" s="709"/>
      <c r="AL36" s="709"/>
      <c r="AM36" s="709"/>
      <c r="AN36" s="709"/>
      <c r="AO36" s="709"/>
      <c r="AP36" s="709"/>
      <c r="AQ36" s="709"/>
      <c r="AR36" s="709"/>
      <c r="AS36" s="709"/>
      <c r="AT36" s="709"/>
      <c r="AU36" s="709"/>
      <c r="AV36" s="709"/>
      <c r="AW36" s="709"/>
      <c r="AX36" s="709"/>
      <c r="AY36" s="709"/>
      <c r="AZ36" s="710"/>
      <c r="BA36" s="708" t="s">
        <v>192</v>
      </c>
      <c r="BB36" s="709"/>
      <c r="BC36" s="709"/>
      <c r="BD36" s="709"/>
      <c r="BE36" s="709"/>
      <c r="BF36" s="709"/>
      <c r="BG36" s="709"/>
      <c r="BH36" s="709"/>
      <c r="BI36" s="709"/>
      <c r="BJ36" s="709"/>
      <c r="BK36" s="709"/>
      <c r="BL36" s="709"/>
      <c r="BM36" s="709"/>
      <c r="BN36" s="709"/>
      <c r="BO36" s="709"/>
      <c r="BP36" s="709"/>
      <c r="BQ36" s="709"/>
      <c r="BR36" s="709"/>
      <c r="BS36" s="709"/>
      <c r="BT36" s="709"/>
      <c r="BU36" s="709"/>
      <c r="BV36" s="709"/>
      <c r="BW36" s="709"/>
      <c r="BX36" s="709"/>
      <c r="BY36" s="709"/>
      <c r="BZ36" s="710"/>
    </row>
    <row r="37" spans="1:78" ht="18" customHeight="1">
      <c r="A37" s="712" t="s">
        <v>193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712"/>
      <c r="AB37" s="712"/>
      <c r="AC37" s="712"/>
      <c r="AD37" s="712"/>
      <c r="AE37" s="712"/>
      <c r="AF37" s="712"/>
      <c r="AG37" s="712"/>
      <c r="AH37" s="712"/>
      <c r="AI37" s="712"/>
      <c r="AJ37" s="712"/>
      <c r="AK37" s="712"/>
      <c r="AL37" s="712"/>
      <c r="AM37" s="712"/>
      <c r="AN37" s="712"/>
      <c r="AO37" s="712"/>
      <c r="AP37" s="712"/>
      <c r="AQ37" s="712"/>
      <c r="AR37" s="712"/>
      <c r="AS37" s="712"/>
      <c r="AT37" s="712"/>
      <c r="AU37" s="712"/>
      <c r="AV37" s="712"/>
      <c r="AW37" s="712"/>
      <c r="AX37" s="712"/>
      <c r="AY37" s="712"/>
      <c r="AZ37" s="712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8" customHeight="1">
      <c r="A38" s="713" t="s">
        <v>194</v>
      </c>
      <c r="B38" s="714"/>
      <c r="C38" s="714"/>
      <c r="D38" s="714"/>
      <c r="E38" s="714"/>
      <c r="F38" s="714"/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4"/>
      <c r="U38" s="714"/>
      <c r="V38" s="714"/>
      <c r="W38" s="714"/>
      <c r="X38" s="714"/>
      <c r="Y38" s="714"/>
      <c r="Z38" s="714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21.9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711" t="s">
        <v>195</v>
      </c>
      <c r="BU39" s="711"/>
      <c r="BV39" s="711"/>
      <c r="BW39" s="711"/>
      <c r="BX39" s="711"/>
      <c r="BY39" s="711"/>
      <c r="BZ39" s="1"/>
    </row>
  </sheetData>
  <mergeCells count="83">
    <mergeCell ref="BT39:BY39"/>
    <mergeCell ref="A36:Z36"/>
    <mergeCell ref="AA36:AZ36"/>
    <mergeCell ref="BA36:BZ36"/>
    <mergeCell ref="A37:AZ37"/>
    <mergeCell ref="A38:Z38"/>
    <mergeCell ref="A34:Z34"/>
    <mergeCell ref="AA34:AZ34"/>
    <mergeCell ref="BA34:BZ34"/>
    <mergeCell ref="A35:Z35"/>
    <mergeCell ref="AA35:AZ35"/>
    <mergeCell ref="BA35:BZ35"/>
    <mergeCell ref="A32:Z32"/>
    <mergeCell ref="AA32:AZ32"/>
    <mergeCell ref="BA32:BZ32"/>
    <mergeCell ref="A33:Z33"/>
    <mergeCell ref="AA33:AZ33"/>
    <mergeCell ref="BA33:BZ33"/>
    <mergeCell ref="A30:Z30"/>
    <mergeCell ref="AA30:AZ30"/>
    <mergeCell ref="BA30:BZ30"/>
    <mergeCell ref="A31:Z31"/>
    <mergeCell ref="AA31:AZ31"/>
    <mergeCell ref="BA31:BZ31"/>
    <mergeCell ref="A23:BZ23"/>
    <mergeCell ref="F25:BZ25"/>
    <mergeCell ref="A26:BZ26"/>
    <mergeCell ref="A27:BZ27"/>
    <mergeCell ref="A29:Z29"/>
    <mergeCell ref="AA29:AZ29"/>
    <mergeCell ref="BA29:BZ29"/>
    <mergeCell ref="A18:C18"/>
    <mergeCell ref="D18:BH18"/>
    <mergeCell ref="BI18:BJ18"/>
    <mergeCell ref="BL18:BZ18"/>
    <mergeCell ref="A19:C19"/>
    <mergeCell ref="D19:BH19"/>
    <mergeCell ref="BI19:BJ19"/>
    <mergeCell ref="BL19:BZ19"/>
    <mergeCell ref="A16:C16"/>
    <mergeCell ref="D16:BH16"/>
    <mergeCell ref="BI16:BJ16"/>
    <mergeCell ref="BL16:BZ16"/>
    <mergeCell ref="A17:C17"/>
    <mergeCell ref="D17:BH17"/>
    <mergeCell ref="BI17:BJ17"/>
    <mergeCell ref="BL17:BZ17"/>
    <mergeCell ref="A14:C14"/>
    <mergeCell ref="D14:BH14"/>
    <mergeCell ref="BI14:BJ14"/>
    <mergeCell ref="BL14:BZ14"/>
    <mergeCell ref="A15:C15"/>
    <mergeCell ref="D15:BH15"/>
    <mergeCell ref="BI15:BJ15"/>
    <mergeCell ref="BL15:BZ15"/>
    <mergeCell ref="A12:C12"/>
    <mergeCell ref="F12:AO12"/>
    <mergeCell ref="AP12:AQ12"/>
    <mergeCell ref="AS12:BH12"/>
    <mergeCell ref="A13:C13"/>
    <mergeCell ref="F13:AO13"/>
    <mergeCell ref="AP13:AQ13"/>
    <mergeCell ref="AS13:BH13"/>
    <mergeCell ref="AS10:BH10"/>
    <mergeCell ref="A11:C11"/>
    <mergeCell ref="F11:AO11"/>
    <mergeCell ref="AP11:AQ11"/>
    <mergeCell ref="AS11:BH11"/>
    <mergeCell ref="A9:C9"/>
    <mergeCell ref="D9:O9"/>
    <mergeCell ref="A10:C10"/>
    <mergeCell ref="F10:AO10"/>
    <mergeCell ref="AP10:AQ10"/>
    <mergeCell ref="BA3:BE3"/>
    <mergeCell ref="BG3:BM3"/>
    <mergeCell ref="BN3:BR3"/>
    <mergeCell ref="BT3:BZ3"/>
    <mergeCell ref="A7:BZ7"/>
    <mergeCell ref="A2:AA2"/>
    <mergeCell ref="A3:E3"/>
    <mergeCell ref="G3:Z3"/>
    <mergeCell ref="AA3:AF3"/>
    <mergeCell ref="AH3:AZ3"/>
  </mergeCells>
  <hyperlinks>
    <hyperlink ref="A38" r:id="rId1" xr:uid="{00000000-0004-0000-0500-000000000000}"/>
  </hyperlinks>
  <printOptions horizontalCentered="1"/>
  <pageMargins left="0.2" right="0.5" top="0.5" bottom="0.2" header="0.3" footer="0.3"/>
  <pageSetup paperSize="5" scale="73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Juncav</dc:creator>
  <cp:lastModifiedBy>Melchor Tampus</cp:lastModifiedBy>
  <cp:lastPrinted>2025-03-18T00:17:19Z</cp:lastPrinted>
  <dcterms:created xsi:type="dcterms:W3CDTF">2013-06-07T14:48:00Z</dcterms:created>
  <dcterms:modified xsi:type="dcterms:W3CDTF">2025-12-09T08:04:34Z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